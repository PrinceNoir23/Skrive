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Joel Hurtado\Documents\GitHub\Skrive\Templates\"/>
    </mc:Choice>
  </mc:AlternateContent>
  <xr:revisionPtr revIDLastSave="0" documentId="13_ncr:1_{BD81A22B-11A0-4101-BD59-5A0B0F927A97}" xr6:coauthVersionLast="47" xr6:coauthVersionMax="47" xr10:uidLastSave="{00000000-0000-0000-0000-000000000000}"/>
  <bookViews>
    <workbookView xWindow="28680" yWindow="-120" windowWidth="29040" windowHeight="15840" xr2:uid="{3534B5A6-9E0B-41A3-AB22-CF8A86CA37E5}"/>
  </bookViews>
  <sheets>
    <sheet name="Templates" sheetId="1" r:id="rId1"/>
    <sheet name="TEU" sheetId="9" r:id="rId2"/>
  </sheets>
  <definedNames>
    <definedName name="_xlnm._FilterDatabase" localSheetId="1" hidden="1">TEU!$M$3:$U$3</definedName>
    <definedName name="_xleta.ADDRESS" hidden="1" xlm="1">#NAME?</definedName>
    <definedName name="_xleta.AND" hidden="1" xlm="1">#NAME?</definedName>
    <definedName name="_xleta.CONCAT" hidden="1" xlm="1">#NAME?</definedName>
    <definedName name="_xleta.DAY" hidden="1" xlm="1">#NAME?</definedName>
    <definedName name="_xleta.IF" hidden="1" xlm="1">#NAME?</definedName>
    <definedName name="_xleta.LOG" hidden="1" xlm="1">#NAME?</definedName>
    <definedName name="_xleta.NOT" hidden="1" xlm="1">#NAME?</definedName>
    <definedName name="_xleta.OR" hidden="1" xlm="1">#NAME?</definedName>
    <definedName name="_xleta.SCAN" hidden="1" xlm="1">#NAME?</definedName>
    <definedName name="_xleta.TIME" hidden="1" xlm="1">#NAME?</definedName>
    <definedName name="_xleta.TRIM" hidden="1" xlm="1">#NAME?</definedName>
    <definedName name="Complaints">TEU!$M$3:$M$1002</definedName>
    <definedName name="Miscellaneous">TEU!$Y$3:$Y$1000</definedName>
    <definedName name="Requests">TEU!$B$3:$B$1000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 i="9" l="1"/>
  <c r="O5" i="9"/>
  <c r="A40" i="9" l="1" a="1"/>
  <c r="A40" i="9" s="1"/>
  <c r="A39" i="9" a="1"/>
  <c r="A39" i="9" s="1"/>
  <c r="A38" i="9" a="1"/>
  <c r="A38" i="9" s="1"/>
  <c r="A37" i="9" a="1"/>
  <c r="A37" i="9" s="1"/>
  <c r="A36" i="9" a="1"/>
  <c r="A36" i="9" s="1"/>
  <c r="A34" i="9" a="1"/>
  <c r="A34" i="9" s="1"/>
  <c r="A32" i="9" a="1"/>
  <c r="A32" i="9" s="1"/>
  <c r="A29" i="9" a="1"/>
  <c r="A29" i="9" s="1"/>
  <c r="A28" i="9" a="1"/>
  <c r="A28" i="9" s="1"/>
  <c r="A27" i="9" a="1"/>
  <c r="A27" i="9" s="1"/>
  <c r="A25" i="9" a="1"/>
  <c r="A25" i="9" s="1"/>
  <c r="T15" i="9" l="1"/>
  <c r="T16" i="9"/>
  <c r="O20" i="9"/>
  <c r="AT5" i="9"/>
  <c r="AF4" i="9"/>
  <c r="D7" i="9"/>
  <c r="D5" i="9"/>
  <c r="O18" i="9"/>
  <c r="O16" i="9"/>
  <c r="O11" i="9"/>
  <c r="O10" i="9"/>
  <c r="O9" i="9"/>
  <c r="AT4" i="9"/>
  <c r="O17" i="9"/>
  <c r="T7" i="9"/>
  <c r="D4" i="9"/>
  <c r="T14" i="9" l="1"/>
  <c r="H12" i="9"/>
  <c r="T27" i="9"/>
  <c r="T4" i="9"/>
  <c r="T9" i="9"/>
  <c r="T8" i="9"/>
  <c r="T5" i="9"/>
  <c r="T28" i="9"/>
  <c r="T26" i="9"/>
  <c r="T24" i="9"/>
  <c r="T13" i="9"/>
  <c r="T21" i="9"/>
  <c r="T22" i="9"/>
  <c r="T23" i="9"/>
  <c r="T12" i="9"/>
  <c r="T25" i="9"/>
  <c r="T20" i="9"/>
  <c r="H8" i="9"/>
  <c r="H9" i="9"/>
  <c r="H10" i="9"/>
  <c r="H6" i="9"/>
  <c r="T19" i="9"/>
  <c r="H4" i="9"/>
  <c r="T18" i="9"/>
  <c r="H7" i="9"/>
  <c r="T10" i="9"/>
  <c r="T11" i="9"/>
  <c r="H5" i="9"/>
  <c r="T17"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<sst xmlns="http://schemas.openxmlformats.org/spreadsheetml/2006/main" count="151" uniqueCount="128">
  <si>
    <t>Complaints</t>
  </si>
  <si>
    <t>Case not able to be sent (Case Corruption)</t>
  </si>
  <si>
    <t>Case Number</t>
  </si>
  <si>
    <t>Survey</t>
  </si>
  <si>
    <t>Logs</t>
  </si>
  <si>
    <t>Requests</t>
  </si>
  <si>
    <t>Miscellaneous</t>
  </si>
  <si>
    <t>TYPE</t>
  </si>
  <si>
    <t>HJS</t>
  </si>
  <si>
    <t>Remote Sessions</t>
  </si>
  <si>
    <t>Recommendations</t>
  </si>
  <si>
    <t>Recaps</t>
  </si>
  <si>
    <t>Comandos</t>
  </si>
  <si>
    <t>Reimport Streams</t>
  </si>
  <si>
    <t>https://support.3shape.com/products-unite-software-how-to/2523166-how-to-import-streams-in-trios-on-dental-desktop-unite</t>
  </si>
  <si>
    <t>New 3shape account/ New user</t>
  </si>
  <si>
    <t>Accessed to TV session 
- The customer wants to set a new account as an inhouse lab to have their cases organized,
- opened edge in two tabs to see if  the current username is the owner so we are able to add a person to the team
- created a new 3shape account with the in-house email
- added the new contact trough communicate
- added the new user in unite
- connection made
-case resolved</t>
  </si>
  <si>
    <t>Customer Called for X reason</t>
  </si>
  <si>
    <t>https://support.3shape.com/products-pc/2524193-basic-troubleshooting-of-pc-related-issues?from_search=175484113</t>
  </si>
  <si>
    <t>No aplica</t>
  </si>
  <si>
    <t>Powershell admin (wnds+x --&gt; a)</t>
  </si>
  <si>
    <t>Remote Routine Check</t>
  </si>
  <si>
    <t>Additionally,  to prevent slow performance in the future, we recommend shutting down your computer every night and ensuring it remains connected during the scanning process</t>
  </si>
  <si>
    <t>Specific Case</t>
  </si>
  <si>
    <t>Additionally,  to prevent similar issues in the future, we recommend shutting down your computer every night and ensuring it remains connected during the scanning process</t>
  </si>
  <si>
    <t>Backup</t>
  </si>
  <si>
    <t>Unite Setup</t>
  </si>
  <si>
    <t>Access to TV Session
Look on cat the version with the dongle
Download the installer on customer PC
Start the Windows Updates
Reboot the pc
Initiate the setup
Start the installer again
Same pop up appear
Windows Version Update was not installed, so I update it again
Start the Unite isntaller again
Set the graphics card settings for the best performance
Customer dont know the account for Unite so he is gonna wait until someone give it the ID and PS</t>
  </si>
  <si>
    <t>No reproducible</t>
  </si>
  <si>
    <t>Greetings ,
 I hope this email finds you well. It was great talking to you today! 
I am reaching out in reference to your recent case with 3Shape (xxxxxx) regarding (xxxx). After the appropriate investigation, we could not find the root cause of the issue as it was not reproduceable.
If you have any other questions or come across with any other issue please, do not hesitate to reach out. Also, please let us know how your experience with your Tech Support representative was here:                                                                 
As a friendly recommendation, we advise to shutting down your computer every night and ensuring it remains connected during the scanning process, additionally make sure all tips are autoclave and check for any pending updates on the software.
We are so happy to have you as part of 3Shape.
Kind Regards,</t>
  </si>
  <si>
    <t>Lab connection on Communicate</t>
  </si>
  <si>
    <t>How to add a connection on 3shape communicate from the dental desktop platform - 3Shape</t>
  </si>
  <si>
    <t>Additionally,  before you try to send a case to a lab, we recommend you to verify that the connection is set up on your software and approved by the lab needed for it.</t>
  </si>
  <si>
    <t>Country Network Restrictions</t>
  </si>
  <si>
    <t>Unite Update (Install)</t>
  </si>
  <si>
    <t>https://support.3shape.com/products-unite-software-how-to/2524707-how-to-update-unite-to-newer-versions?from_search=177670445</t>
  </si>
  <si>
    <t>Customer ask for a follow up for a case of upgrade to unite III
Access to TV
Look locahost to be sure that is the server PC
Start the update
Move the clinic licenses to the cloud
Update was completed successfully
Explain the differences between versions to the customer
Customer ask about the offline availability 
Explain that he can scan offline for 10 day
Solved</t>
  </si>
  <si>
    <t>Additionally, remember some advantages of the cloud such as:
- You have the capability to perform offline scans for a period of 10 days.
- Avoid lossing information from database
- You can see the cases from your cellphone
- You have 1TB of space on the cloud
- You don't need physical dongle connected</t>
  </si>
  <si>
    <t>Slow Performance</t>
  </si>
  <si>
    <t>Access to TV session
Ask the customer to reproduce the issue " ......"
Look the graphics settings and set it on high performance
look for windows updates 
Check task manager and found:
Base speed: 3.60 Ghz
Current Speed: 2.06 GGhz
BIOS Version/Date: American Megatrends Inc. 5.0.1.2, 3/14/2018
Remove Nvidia drivers 
Make a clean installation process and updated to version 553.62
Reboot the pc 
Ask the customer to try to scan again but the slow performance still
Look the reliability history 
Found 3 days with a Dental Desktop Stop Working warning on the last week
As the Move+ has been updated correctly we continue to test the scanner.
Start a hardware test
All the tests pass successfully
Do a new scan and the images on 4 minutes was 496
Make a test with the AI disable and the scanner improve the performance
Verify the scan with out the AI and it works fine</t>
  </si>
  <si>
    <t>No access to the mail</t>
  </si>
  <si>
    <t>Request TV PW and ID
Request the customer log in the new user
Check that is waiting for approval to join the company
log in in the communicate portal 
Accepts the approval and request 
Log in the user in the unite SW
Issue was solved</t>
  </si>
  <si>
    <t xml:space="preserve">Regain access via Written Approval Request: If you're unable to regain access to the owner’s email, please find the attached Written Approval Request Form for the proposed change of company email and the email associated with your Trios scanner. The form should be filled out electronically and signed by hand. You may also modify the reason provided, such as changing “I sold my practice,” to better fit your situation. for example, the owner no longer works in the company. </t>
  </si>
  <si>
    <t>Company ID Token</t>
  </si>
  <si>
    <t>https://support.3shape.com/an-issue-occurred-company-id-set-for-token-does-not-match-pop-up-when-attempting-to-sign-in-to-unite-1871-after-updating-to-unite-cloud-?from_search=1754531384</t>
  </si>
  <si>
    <t>Additionally,  to prevent performance issues in the future, we recommend shutting down your computer every night and ensuring it remains connected during the scanning process.</t>
  </si>
  <si>
    <t>Set Up 3Shape Acount</t>
  </si>
  <si>
    <t>Access Remote Session
Access Unite 1.8.8.0
Change old doctor account name to new Dental Assistant
Go to Communicate and Access 3shape account
Explain about the companies and the admin main account
Create a new user account for the new dr Tagg
New account was successfully create it.
Advised to shut down computer for a few minutes since it was running slow.</t>
  </si>
  <si>
    <t xml:space="preserve">  Additionally, to prevent slow performance in the future, we recommend shutting down your computer every night and ensuring it remains connected during the scanning process</t>
  </si>
  <si>
    <t>Cloud Storage Lost</t>
  </si>
  <si>
    <t>https://support.3shape.com/3shape-unite-241/connection-to-cloud-is-lost-with-correct-network-speed-and-set-up?from_search=181246446</t>
  </si>
  <si>
    <t>Additionally, to prevent similar issues in the future, we recommend shutting down your computer every night and ensuring it stays connected to the internet via Ethernet.</t>
  </si>
  <si>
    <t>Request to have help to connect a TRIOS core scanner for the first time (replacement/loan)</t>
  </si>
  <si>
    <t>https://support.3shape.com/cloud-license/how-to-move-licenses-from-dongle-into-cloud?from_search=178255262</t>
  </si>
  <si>
    <t>Access to TV Session.
Check for pc standard performance.
Navigate to scanner management tab.
Select "add wired scanner"
Walk customer through connecting the scanner and the new dongle.
Activated and migrated the new dongle licenses to the cloud
Educated the customer about the way to choose a scanner.
No further assistance needed.</t>
  </si>
  <si>
    <t>Dear,
I am writing to follow up on your recent call to our technical support center regarding the setup of your Trios Core with the 3Shape Unite software for the first time, under reference CAS-. 
I am pleased to inform you that we have successfully configured the new TRIOS core scanner with the Unite software on your computer. We also activated the licenses from the new dongle so you can use the new scanner but also the previous scanner, by selecting any of them in the "Scanner management" tab.
Thank you for allowing me to assist you today. I would appreciate it if you could take a moment to provide feedback on my service by completing the following survey. At the end of the survey, please include a note about your experience during this interaction. Your feedback is valuable and will help us continue to improve our services.</t>
  </si>
  <si>
    <t>Helpjuice wasn´t needed for this issue.</t>
  </si>
  <si>
    <t>Also, as a recommendation to prevent future files from corruption during the scanning process of a specific case, please avoid excessive back-and-forth navigation. Such actions can increase the risk of data corruption.</t>
  </si>
  <si>
    <t>How to export stl files in TRIOS software 1.x.x.x</t>
  </si>
  <si>
    <t>https://support.3shape.com/products-unite-software-how-to/how-export-stldcmply-files-dental-desktop</t>
  </si>
  <si>
    <t>- Log into the computer
- Explain to her how to export a post-processed case as STL file
- Select the three dots that appear at the right of the case 
- Then export 
- Then choose the location and name the file 
- Save as STL
- Request solved</t>
  </si>
  <si>
    <t>Please rememeber to always post-process the case in order to be able to export it.</t>
  </si>
  <si>
    <t>Color Calibration Expirated</t>
  </si>
  <si>
    <t>https://support.3shape.com/products-trios-and-accessories-trios-4-troubleshooting/2522536-internal-color-calibration-fails-error-code-7-8-10-11-or-12-during-trios-calibration?from_search=176377013</t>
  </si>
  <si>
    <t>1. Start remote desktop
2. Issue was reproduced 
3. Color calibration target got checked and it has expired (2024)
4. Accesed into the ScanSuite path and verified scan pictures
5. Hardware Test performed for discard Trios issues
6. Explained to customer the bad result of calibration hardware test
7. Asked to customer to get a new one in the shop</t>
  </si>
  <si>
    <t>We recommend you get a new Calibration Target on the 3shape store in the following link:
https://webshop.3shape.com/es/accessories
Meanwhile you can use the black cylinder instead to complete the calibration, while you wait the new one to arrive.</t>
  </si>
  <si>
    <t>Server Issue Ocurred</t>
  </si>
  <si>
    <t>https://support.3shape.com/3shape-unite-241/a-server-issue-occurred%E2%80%9D-error-appears-after-entering-the-pincode-in-unite-241-?from_search=177259351</t>
  </si>
  <si>
    <t>TV session was created without issues.
Problem was reproduced.
Start task manager
Create the process dump file.
Download data and pack all into the zip archive.
Stop Services.
Backup Token Folders.
Restart Services.
Run a repair installation.
Complete the installation.
Reproduce the problem again.
Reopen the SW.
Incident solved.</t>
  </si>
  <si>
    <t>Black lines while scanning</t>
  </si>
  <si>
    <t>https://support.3shape.com/products-trios-and-accessories-trios-5-troubleshooting/black-lines-while-scanning-wireless-connection?from_search=180205339</t>
  </si>
  <si>
    <t>Accessed to TV session 
- Ask the customer to reproduce the issuetrios has black lines on the trios when scanning, the scanner also has slow performancce,
- customer is sendin g video of the problem 
- the video shows an issue, black lines (video on files) on the scanner while scannig
- looked for windows updates , now all is up to date
- windows version in 23H2
- tp link is blue and connected
- firewalls opened for ports 21, 80, 23796 TCP, aand UCP 58220-58230, TRIOS $ wireless
- connection speed is under 45MB, it is of 14MB
- graphic card driver was updated, now all is up to date
- advised too customer to get a better connection not only of internet, also to chechk internal wifi card</t>
  </si>
  <si>
    <t>Unable to Reach</t>
  </si>
  <si>
    <t>Call attempt  - user did not answered</t>
  </si>
  <si>
    <t>TP Link Issue</t>
  </si>
  <si>
    <t>https://support.3shape.com/products-trios-and-accessories-trios-4-troubleshooting/2522665-internal-trios-3-4-5-wireless-is-not-connecting?from_search=176334525</t>
  </si>
  <si>
    <t>No article found for this proccess</t>
  </si>
  <si>
    <t>Calibration Code 11</t>
  </si>
  <si>
    <t>Also as a recomendation to prevent this error code we recomend to clean the front glass and the mirror with a soft cloth or blowing some air.</t>
  </si>
  <si>
    <t>Server Issue Ocurred / Running on PC {0}</t>
  </si>
  <si>
    <t>https://support.3shape.com/3shape-unite-241/a-server-issue-occurred-check-that-the-server-is-running-on-the-pc-0-upon-signing-in-unite?from_search=177261760</t>
  </si>
  <si>
    <t>Unite Server not found</t>
  </si>
  <si>
    <t>Send step is not present or greyed-out in the workflow bar</t>
  </si>
  <si>
    <t>https://support.3shape.com/products-unite-software-troubleshooting/2523362-send-step-is-not-present-or-greyed-out-in-the-workflow-bar-for-trios-cases?from_search=177686738</t>
  </si>
  <si>
    <t>- Log in to the PC
- Reproduce the issue: send step is missing
- Check dongle licenses correct
- Check for updates of TRIOS module
- Log in to support mode
- Check modules at app management and appeared as not compatible
- Run a repair of Dental Desktop 1.7.83.0 send step is now available
- Send the case successfully
- Issue resolved</t>
  </si>
  <si>
    <t>Slow Performance Trios 3-5 (BM-6026) IA</t>
  </si>
  <si>
    <t>https://support.3shape.com/clinic-processing-scans/trios-3-scanner-runs-slow-when-ai-scan-is-enabled?from_search=178248534</t>
  </si>
  <si>
    <t>Access to TV session
Ask the customer to reproduce the issue
Look the graphics settings and set it on high performance
look for windows updates 
Check task manager and found:
Base speed: 3.60 Ghz
Current Speed: 2.06 GGhz
BIOS Version/Date: American Megatrends Inc. 5.0.1.2, 3/14/2018
Remove Nvidia drivers 
Make a clean installation process and updated to version 553.62
Reboot the pc 
Ask the customer to try to scan again but the slow performance still
Look the reliability history
Found 3 days with a Dental Desktop Stop Working warning on the last week
As the Move+ has been updated correctly we continue to test the scanner.
Start a hardware test
All the tests pass successfully
Do a new scan and the images on 4 minutes was 496
Make a test with the AI disable and the scanner improve the performance
Verify the scan with out the AI and it works fine</t>
  </si>
  <si>
    <t>I am writing in reference to your recent call to our technical support center regarding the slow performance of your Move+ device during the scan process. The issue was caused due a bug on Unite when activating the AI Scan using a Trios 3 or Trios 5, your computer has been rebooted, the graphics card settings have been optimized for maximum performance, and the drivers have been updated to ensure smooth operation, additionally, the system has been fully optimized to deliver the best performance for your 3Shape App.
A bug is an unexpected problem with software or hardware. Typical problems are often the result of external interference with the program's performance that was not anticipated by the developer. Minor bugs can cause small problems like frozen screens or unexplained error messages that do not significantly affect usage.</t>
  </si>
  <si>
    <t>Configuration Download not working</t>
  </si>
  <si>
    <t>No helpjuice found for this issue.</t>
  </si>
  <si>
    <t>Access to TV
Customer show me the pop up of the error
Take the Logs
Click on Reset configuration
Unite continue with Sign in and dowload the modules.
Issue Solved</t>
  </si>
  <si>
    <t>Reimport Streams due to corruption after receiving case on a lab integration</t>
  </si>
  <si>
    <t>TV opened.
Disabled and re-enabled invisalign integration on communicate.
Create a new case.
Reimported streams.
Resend the case to the integration.
Dentist will check if the case says again that it is corrupted on the invisalign side.
Session ended.</t>
  </si>
  <si>
    <t>I am pleased to inform you that we have addressed this issue by re-enabling the Invisalign integration in your Communicate portal, also, creating a new case and reimporting the original scans on it for you to send the case to the Invisalign integration again.
As a recommendation, do not navigate to much in and out of the case to avoid corruption on 3shape's end (Unite)</t>
  </si>
  <si>
    <t>Disabled Integration on Comunicate (Invisalign)</t>
  </si>
  <si>
    <t xml:space="preserve">https://support.3shape.com/clinic-sending-files-to-other-clinics-or-labs/case-sent-from-trios-doesnt-appear-invisalign-site?from_search=178288241
</t>
  </si>
  <si>
    <t>Access via TV
Customer show me the different mails from 3Shape that said "Failure to sent the case" on Invisalign
Go to communicate portal and found the integration with Invisalign was disable
Enable the integration
Test the connection of the software to Communicate
Told the customer to try to sent again the case
Case sent successfully
Told the customer to sent again all the cases that have this issue
Issue resolved</t>
  </si>
  <si>
    <t>- Reproduced issue: wifi  did not show any networks and wifi 2 (3shape tplink wireless) showed networks</t>
  </si>
  <si>
    <t>Unite not being updated automatically to Unite III on a client PC</t>
  </si>
  <si>
    <t>Accessed via TV.
EM about subscriptions showed up.
Checked licenses in cloud admin and they are up to date.
Client PC was still in Unite I version.
Checked for available updates.
Ran the update from Unite I to Unite II
Ran the update from Unite I to Unite III
Collected logs.
Client PC was updated successfully to Unite III.
Incident solved.</t>
  </si>
  <si>
    <t>I am pleased to inform you that we have addressed the issue verifying the licenses validity. Additionally, the client PC was updated successfully to the latest version of the Unite software. As a result, you should be able to postprocess cases and also to send them in the future.</t>
  </si>
  <si>
    <t>EM: (Error code:10) when performing calibration on TRIOS 3</t>
  </si>
  <si>
    <t>https://support.3shape.com/products-trios-and-accessories-trios-4-troubleshooting/2522536-internal-color-calibration-fails-error-code-7-8-10-11-or-12-during-trios-calibration?from_search=177948219</t>
  </si>
  <si>
    <t>- Logged into the system
- Reproduced the issue. Trying to calibrate: 3D calibration pass / Color calibration A side pass
- Color calibration B side show error code 10. Multiple dots appeared on scansuite revision, request to try with another scan tip.
- Only one dot remain. Requested pictures of the front glass, calibration target and scan tip by email.
- Expiration date of the calibration target is longer that recommended (Write here expiration date of the calibration target)
- Perform calibration with 3D black cylinder instead of B-side and passed.
- Issue solved
- Recommend buying a new calibration target.</t>
  </si>
  <si>
    <t>Also, be sure to check the expiration date of the target gradually before calibrating.</t>
  </si>
  <si>
    <t>"Abutment not selected" EM</t>
  </si>
  <si>
    <t>TV session was created without issues.
Restarted the Unite software.
Tried to send the case.
Abutment connection error showed up
Got back to the scanning page and trimmed a bit of soft tissue.
Abutment setup menus showed up on the initial case stage.
Customer selected the features.
Post-processed the scans again.
Case was sent successfully.
Collected logs.
Incident solved.</t>
  </si>
  <si>
    <t>WIFI networks are not showing on a move +</t>
  </si>
  <si>
    <t>https://support.3shape.com/products-trios-and-accessories-trios-5-troubleshooting/wi-fi-disconnection-errors-when-connecting-wireless-scanners-on-pcmovemove?from_search=178782331
https://support.3shape.com/products-trios-and-accessories-move-troubleshooting/2524844-internal-misconfiguration-of-move-tp-links?from_search=178782523</t>
  </si>
  <si>
    <t>-Remotely access
- Reproduced issue: wifi  did not show any networks and wifi 2 (3shape tplink wireless) showed networks
- Opened Powershell as administrator
-Disabled autoconfiguration for the adapter on tplink
-Enable the correct wifi for lynksys
-Opened Device Manager and check if TP-Links are correctly detected 
-Checked the configuration of Tp-Link Wireless USB Adapter 011F - 0106 (names are not showing)
-Uninstalled drivers: Tp-Link Wireless USB Adapter, AXIS AX88179 USB
-Refreshed for hardware changes, it did not appear Lynksys this time
-Checked the network connections 
-Changed the names of the networks but realized that lynksys one was not there
-Reset network
-Shut down the computer
-Disconnected internet cable
-Unplugged devides/adapters/Lynksys
-Asked for the pictures of the conditions of device
-Lynksys is still not recognized by the move +
-Left move connected with the network cable and tplink</t>
  </si>
  <si>
    <t>Transferred to Second line after identifying the move+ does not identify Lynksys connected.</t>
  </si>
  <si>
    <t>Thank you for contacting the 3Shape Advanced support clinic.
According to the reported hardware issues of the LINKSYS device model WUSB6100M, the unit must be replaced covered under the TRIOS Care warranty.</t>
  </si>
  <si>
    <t xml:space="preserve">-Opened Device Manager and check if TP-Links are correctly detected </t>
  </si>
  <si>
    <t>Migration unsuccessfull</t>
  </si>
  <si>
    <t>https://support.3shape.com/an-issue-occurred-company-id-set-for-token-does-not-match-pop-up-when-attempting-to-sign-in-to-unite-1871-after-updating-to-unite-cloud-?from_search=180831359</t>
  </si>
  <si>
    <t>Accessed to TV session 
- Ask the customer to reproduce the issue there is a problem when tryuing to acess erro of contact support shows up
- accessed to the computer once again
- migration service stopped
- Modified the Registry Value to 0
- rebooted computer
-  looked for unite updates, now all is up to date
-  rebooted computer, practiec was closing and teamviewer session lost,  so advised to customer that if the problem is not solved contact us with case ID</t>
  </si>
  <si>
    <t>Transferred to Second line after issue persist</t>
  </si>
  <si>
    <t xml:space="preserve">
Hi, 
I am writing to inform you about an issue we encountered with the software migration. Unfortunately, the migration was unsuccessful, which is the reason why the software was not working properly. However, we have run the necessary repairs, and it should be functioning normally now.
If you experience any further problems, please do not hesitate to contact us with your case number.</t>
  </si>
  <si>
    <t>-Checked the configuration of Tp-Link Wireless USB Adapter 011F - 0106 (names are not showing)</t>
  </si>
  <si>
    <t>Clear Connect conection</t>
  </si>
  <si>
    <t>https://support.3shape.com/products-3shape-unite-connections-and-integrations-how-to/clear-correct-classic-drportal-3shape-unite-integration-guide?from_search=180993325</t>
  </si>
  <si>
    <t>Remote Session Desktop
Accessed to TV session 
- Ask the customer to reproduce the issue wants a Clear correct connection to send cases
- the clear connect app is installed
- clearr correct credentials rrequested to customer, she has not them
-  clearr correct  account created
- case sent and is working</t>
  </si>
  <si>
    <t>Dear ,
I am writing from 3Shape Support regarding your request about the Clear Connect connection.
I am pleased to inform you that we have addressed your request by setting up the Clear Correct connection in Unite. Unfortunately, we were unable to configure the account for it. I recommend contacting Clear Correct Support directly, as their website is currently experiencing issues.
If you need further assistance, please feel free to reach out to us using the following case number: CAS-1183025-X4Q7C6.
Thank you for allowing me to assist you today. I would greatly appreciate it if you could take a moment to provide feedback on my service by completing the following survey: 
At the end of the survey, please leave a note about your experience during this interaction. Your patience and understanding throughout the process are greatly appreciated, and your feedback will help us continue improving our services as we strive for excellence.
Best regards,</t>
  </si>
  <si>
    <t>-Refreshed for hardware changes, it did not appear Lynksys this time</t>
  </si>
  <si>
    <t>-Changed the names of the networks but realized that lynksys one was not there</t>
  </si>
  <si>
    <t>-Lynksys is still not recognized by the move +</t>
  </si>
  <si>
    <t>-Left move connected with the network cable and tplink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</si>
</sst>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u/>
      <sz val="11"/>
      <color theme="10"/>
      <name val="Aptos Narrow"/>
      <family val="2"/>
      <scheme val="minor"/>
    </font>
    <font>
      <sz val="11"/>
      <color rgb="FF242424"/>
      <name val="Aptos Narrow"/>
      <family val="2"/>
      <scheme val="minor"/>
    </font>
    <font>
      <sz val="11"/>
      <color rgb="FF000000"/>
      <name val="Aptos Narrow"/>
      <family val="2"/>
    </font>
    <font>
      <b/>
      <i/>
      <u/>
      <sz val="100"/>
      <color rgb="FF000000"/>
      <name val="Arial Black"/>
      <family val="2"/>
    </font>
    <font>
      <sz val="100"/>
      <color theme="1"/>
      <name val="Aptos Narrow"/>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rgb="FF33CCCC"/>
        <bgColor indexed="64"/>
      </patternFill>
    </fill>
    <fill>
      <patternFill patternType="solid">
        <fgColor rgb="FFE97132"/>
        <bgColor rgb="FF000000"/>
      </patternFill>
    </fill>
    <fill>
      <patternFill patternType="solid">
        <fgColor theme="8" tint="0.59999389629810485"/>
        <bgColor indexed="64"/>
      </patternFill>
    </fill>
    <fill>
      <patternFill patternType="solid">
        <fgColor theme="5" tint="0.59999389629810485"/>
        <bgColor indexed="64"/>
      </patternFill>
    </fill>
    <fill>
      <patternFill patternType="solid">
        <fgColor rgb="FF09FBC7"/>
        <bgColor indexed="64"/>
      </patternFill>
    </fill>
    <fill>
      <patternFill patternType="solid">
        <fgColor rgb="FFFF9966"/>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style="thin">
        <color rgb="FF000000"/>
      </right>
      <top style="thin">
        <color rgb="FF000000"/>
      </top>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style="thin">
        <color rgb="FF000000"/>
      </left>
      <right/>
      <top style="thin">
        <color rgb="FF000000"/>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rgb="FF000000"/>
      </top>
      <bottom style="thin">
        <color indexed="64"/>
      </bottom>
      <diagonal/>
    </border>
    <border>
      <left/>
      <right/>
      <top/>
      <bottom style="thin">
        <color rgb="FF000000"/>
      </bottom>
      <diagonal/>
    </border>
  </borders>
  <cellStyleXfs count="2">
    <xf numFmtId="0" fontId="0" fillId="0" borderId="0"/>
    <xf numFmtId="0" fontId="1" fillId="0" borderId="0" applyNumberFormat="0" applyFill="0" applyBorder="0" applyAlignment="0" applyProtection="0"/>
  </cellStyleXfs>
  <cellXfs count="89">
    <xf numFmtId="0" fontId="0" fillId="0" borderId="0" xfId="0"/>
    <xf numFmtId="0" fontId="0" fillId="0" borderId="0" xfId="0" applyAlignment="1">
      <alignment horizontal="left" vertical="top" wrapText="1"/>
    </xf>
    <xf numFmtId="0" fontId="0" fillId="0" borderId="1" xfId="0" applyBorder="1" applyAlignment="1">
      <alignment horizontal="left" vertical="top" wrapText="1"/>
    </xf>
    <xf numFmtId="0" fontId="0" fillId="0" borderId="0" xfId="0" applyAlignment="1">
      <alignment horizontal="left" vertical="top"/>
    </xf>
    <xf numFmtId="0" fontId="0" fillId="0" borderId="0" xfId="0" applyAlignment="1">
      <alignment horizontal="center" vertical="center" wrapText="1"/>
    </xf>
    <xf numFmtId="0" fontId="0" fillId="0" borderId="14" xfId="0" applyBorder="1" applyAlignment="1">
      <alignment horizontal="center" vertical="center"/>
    </xf>
    <xf numFmtId="0" fontId="0" fillId="0" borderId="1" xfId="0" applyBorder="1" applyAlignment="1">
      <alignment horizontal="center" vertical="center" wrapText="1"/>
    </xf>
    <xf numFmtId="0" fontId="1" fillId="0" borderId="0" xfId="1" applyAlignment="1">
      <alignment horizontal="center" vertical="center" wrapText="1"/>
    </xf>
    <xf numFmtId="0" fontId="3" fillId="0" borderId="1" xfId="0" applyFont="1" applyBorder="1" applyAlignment="1">
      <alignment horizontal="center" vertical="center" wrapText="1"/>
    </xf>
    <xf numFmtId="0" fontId="0" fillId="0" borderId="19" xfId="0" applyBorder="1" applyAlignment="1">
      <alignment horizontal="center" vertical="center"/>
    </xf>
    <xf numFmtId="0" fontId="0" fillId="0" borderId="7" xfId="0" applyBorder="1" applyAlignment="1">
      <alignment horizontal="center" vertical="center" wrapText="1"/>
    </xf>
    <xf numFmtId="0" fontId="0" fillId="7" borderId="1" xfId="0" applyFill="1" applyBorder="1" applyAlignment="1">
      <alignment horizontal="center" vertical="center" wrapText="1"/>
    </xf>
    <xf numFmtId="0" fontId="3" fillId="0" borderId="1" xfId="0" applyFont="1" applyBorder="1" applyAlignment="1">
      <alignment horizontal="center" vertical="center"/>
    </xf>
    <xf numFmtId="0" fontId="1" fillId="0" borderId="20" xfId="1" applyBorder="1" applyAlignment="1">
      <alignment horizontal="center" vertical="center" wrapText="1"/>
    </xf>
    <xf numFmtId="0" fontId="1" fillId="0" borderId="7" xfId="1" applyBorder="1" applyAlignment="1">
      <alignment horizontal="center" vertical="center" wrapText="1"/>
    </xf>
    <xf numFmtId="0" fontId="1" fillId="0" borderId="4" xfId="1" applyBorder="1" applyAlignment="1">
      <alignment horizontal="center" vertical="center" wrapText="1"/>
    </xf>
    <xf numFmtId="0" fontId="0" fillId="0" borderId="23" xfId="0" applyBorder="1" applyAlignment="1">
      <alignment horizontal="center" vertical="center" wrapText="1"/>
    </xf>
    <xf numFmtId="0" fontId="1" fillId="0" borderId="0" xfId="1" applyFill="1" applyBorder="1" applyAlignment="1">
      <alignment horizontal="center" vertical="center" wrapText="1"/>
    </xf>
    <xf numFmtId="0" fontId="0" fillId="0" borderId="0" xfId="0" applyAlignment="1">
      <alignment vertical="top" wrapText="1"/>
    </xf>
    <xf numFmtId="0" fontId="0" fillId="0" borderId="0" xfId="0" applyAlignment="1">
      <alignment vertical="top"/>
    </xf>
    <xf numFmtId="0" fontId="1" fillId="0" borderId="0" xfId="1" applyAlignment="1">
      <alignment horizontal="left" vertical="top" wrapText="1"/>
    </xf>
    <xf numFmtId="0" fontId="0" fillId="0" borderId="23" xfId="0" applyBorder="1" applyAlignment="1">
      <alignment horizontal="left" vertical="top" wrapText="1"/>
    </xf>
    <xf numFmtId="0" fontId="1" fillId="0" borderId="0" xfId="1" applyAlignment="1">
      <alignment vertical="center" wrapText="1"/>
    </xf>
    <xf numFmtId="0" fontId="0" fillId="0" borderId="0" xfId="0" applyAlignment="1">
      <alignment wrapText="1"/>
    </xf>
    <xf numFmtId="0" fontId="1" fillId="0" borderId="0" xfId="1" applyAlignment="1">
      <alignment wrapText="1"/>
    </xf>
    <xf numFmtId="0" fontId="1" fillId="0" borderId="0" xfId="1" applyAlignment="1">
      <alignment vertical="top" wrapText="1"/>
    </xf>
    <xf numFmtId="0" fontId="1" fillId="3" borderId="20" xfId="1" applyFill="1" applyBorder="1" applyAlignment="1">
      <alignment horizontal="center" vertical="center" wrapText="1"/>
    </xf>
    <xf numFmtId="0" fontId="0" fillId="0" borderId="0" xfId="0" applyAlignment="1">
      <alignment horizontal="left" vertical="center" wrapText="1" indent="1"/>
    </xf>
    <xf numFmtId="0" fontId="5" fillId="8" borderId="1" xfId="0" applyFont="1" applyFill="1" applyBorder="1" applyAlignment="1">
      <alignment horizontal="center" vertical="center"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vertical="center" wrapText="1"/>
    </xf>
    <xf numFmtId="0" fontId="0" fillId="0" borderId="0" xfId="0" applyAlignment="1">
      <alignment horizontal="left" vertical="center"/>
    </xf>
    <xf numFmtId="0" fontId="0" fillId="0" borderId="8" xfId="0" applyBorder="1" applyAlignment="1">
      <alignment horizontal="left" vertical="top" wrapText="1"/>
    </xf>
    <xf numFmtId="0" fontId="0" fillId="0" borderId="2" xfId="0" applyBorder="1" applyAlignment="1">
      <alignment horizontal="left" vertical="top" wrapText="1"/>
    </xf>
    <xf numFmtId="0" fontId="0" fillId="0" borderId="2" xfId="0" applyBorder="1" applyAlignment="1">
      <alignment horizontal="center" wrapText="1"/>
    </xf>
    <xf numFmtId="0" fontId="0" fillId="0" borderId="2" xfId="0" applyBorder="1" applyAlignment="1">
      <alignment horizontal="left" wrapText="1"/>
    </xf>
    <xf numFmtId="0" fontId="0" fillId="0" borderId="8" xfId="0" applyBorder="1" applyAlignment="1">
      <alignment horizontal="center" vertical="center" wrapText="1"/>
    </xf>
    <xf numFmtId="0" fontId="0" fillId="0" borderId="9"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left"/>
    </xf>
    <xf numFmtId="0" fontId="0" fillId="7" borderId="8" xfId="0" applyFill="1" applyBorder="1" applyAlignment="1">
      <alignment horizontal="left" vertical="top" wrapText="1"/>
    </xf>
    <xf numFmtId="0" fontId="0" fillId="7" borderId="9" xfId="0" applyFill="1" applyBorder="1" applyAlignment="1">
      <alignment horizontal="left" vertical="top" wrapText="1"/>
    </xf>
    <xf numFmtId="0" fontId="0" fillId="0" borderId="5" xfId="0" applyBorder="1" applyAlignment="1">
      <alignment horizontal="center" vertical="center"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0" xfId="0" applyAlignment="1">
      <alignment horizontal="center" vertical="center" wrapText="1"/>
    </xf>
    <xf numFmtId="0" fontId="0" fillId="0" borderId="8" xfId="0" applyBorder="1" applyAlignment="1">
      <alignment horizontal="left" vertical="center" wrapText="1"/>
    </xf>
    <xf numFmtId="0" fontId="0" fillId="0" borderId="22" xfId="0" applyBorder="1" applyAlignment="1">
      <alignment horizontal="center" vertical="center"/>
    </xf>
    <xf numFmtId="0" fontId="0" fillId="0" borderId="21" xfId="0" applyBorder="1" applyAlignment="1">
      <alignment horizontal="left" vertical="center" wrapText="1"/>
    </xf>
    <xf numFmtId="0" fontId="0" fillId="0" borderId="21" xfId="0" applyBorder="1" applyAlignment="1">
      <alignment horizontal="left" vertical="top" wrapText="1"/>
    </xf>
    <xf numFmtId="0" fontId="0" fillId="0" borderId="25" xfId="0" applyBorder="1" applyAlignment="1">
      <alignment horizontal="left" vertical="top" wrapText="1"/>
    </xf>
    <xf numFmtId="0" fontId="2" fillId="0" borderId="8" xfId="0" applyFont="1" applyBorder="1" applyAlignment="1">
      <alignment horizontal="left" vertical="top" wrapText="1"/>
    </xf>
    <xf numFmtId="0" fontId="0" fillId="0" borderId="26" xfId="0" applyBorder="1" applyAlignment="1">
      <alignment horizont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11" xfId="0"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9" xfId="0" applyBorder="1" applyAlignment="1">
      <alignment horizontal="center" vertical="center"/>
    </xf>
    <xf numFmtId="0" fontId="0" fillId="0" borderId="10" xfId="0" applyBorder="1" applyAlignment="1">
      <alignment horizontal="left" vertical="top" wrapText="1"/>
    </xf>
    <xf numFmtId="0" fontId="0" fillId="0" borderId="10" xfId="0" applyBorder="1" applyAlignment="1">
      <alignment horizontal="left" vertical="center" wrapText="1"/>
    </xf>
    <xf numFmtId="0" fontId="0" fillId="0" borderId="7" xfId="0" applyBorder="1" applyAlignment="1">
      <alignment horizontal="left" vertical="top" wrapText="1"/>
    </xf>
    <xf numFmtId="0" fontId="0" fillId="4" borderId="16"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2" borderId="15" xfId="0" applyFill="1" applyBorder="1" applyAlignment="1">
      <alignment horizontal="center" vertical="center"/>
    </xf>
    <xf numFmtId="0" fontId="0" fillId="0" borderId="14" xfId="0" applyBorder="1" applyAlignment="1">
      <alignment horizontal="center" vertical="center"/>
    </xf>
    <xf numFmtId="0" fontId="0" fillId="9" borderId="0" xfId="0" applyFill="1" applyAlignment="1">
      <alignment horizontal="center"/>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3" fillId="5" borderId="0" xfId="0" applyFont="1" applyFill="1" applyAlignment="1">
      <alignment horizontal="center"/>
    </xf>
    <xf numFmtId="0" fontId="0" fillId="0" borderId="24" xfId="0" applyBorder="1" applyAlignment="1">
      <alignment horizontal="center" vertical="center" wrapText="1"/>
    </xf>
    <xf numFmtId="0" fontId="0" fillId="3" borderId="21" xfId="0" applyFill="1" applyBorder="1" applyAlignment="1">
      <alignment horizontal="left" vertical="center" wrapText="1"/>
    </xf>
    <xf numFmtId="0" fontId="0" fillId="7" borderId="21" xfId="0" applyFill="1" applyBorder="1" applyAlignment="1">
      <alignment horizontal="left" vertical="top" wrapText="1"/>
    </xf>
    <xf numFmtId="0" fontId="0" fillId="7" borderId="25" xfId="0" applyFill="1" applyBorder="1" applyAlignment="1">
      <alignment horizontal="left" vertical="top" wrapText="1"/>
    </xf>
    <xf numFmtId="0" fontId="0" fillId="0" borderId="5" xfId="0" applyBorder="1" applyAlignment="1">
      <alignment horizontal="center" vertical="top"/>
    </xf>
    <xf numFmtId="49" fontId="0" fillId="0" borderId="0" xfId="0" applyNumberFormat="1" applyAlignment="1">
      <alignment vertical="top" wrapText="1"/>
    </xf>
    <xf numFmtId="0" fontId="0" fillId="0" borderId="0" xfId="0" applyAlignment="1">
      <alignment vertical="top" wrapText="1"/>
    </xf>
    <xf numFmtId="0" fontId="0" fillId="0" borderId="21" xfId="0" applyBorder="1" applyAlignment="1">
      <alignment vertical="top" wrapText="1"/>
    </xf>
    <xf numFmtId="0" fontId="0" fillId="0" borderId="25" xfId="0" applyBorder="1" applyAlignment="1">
      <alignment vertical="top" wrapText="1"/>
    </xf>
    <xf numFmtId="0" fontId="0" fillId="0" borderId="25" xfId="0" applyBorder="1" applyAlignment="1">
      <alignment horizontal="left" vertical="center" wrapText="1"/>
    </xf>
    <xf numFmtId="0" fontId="0" fillId="0" borderId="26" xfId="0" applyBorder="1" applyAlignment="1">
      <alignment horizontal="center" vertical="top" wrapText="1"/>
    </xf>
    <xf numFmtId="0" fontId="0" fillId="0" borderId="0" xfId="0" applyAlignment="1">
      <alignment horizontal="center"/>
    </xf>
    <xf numFmtId="49" fontId="0" fillId="0" borderId="0" xfId="0" applyNumberFormat="1" applyAlignment="1">
      <alignment horizontal="left" vertical="top" wrapText="1"/>
    </xf>
    <xf numFmtId="0" fontId="0" fillId="0" borderId="2" xfId="0" applyBorder="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color rgb="FFFFCC00"/>
      <color rgb="FFFF9966"/>
      <color rgb="FFAFFFFF"/>
      <color rgb="FFE5FFFF"/>
      <color rgb="FF03FDFD"/>
      <color rgb="FFA4FEEB"/>
      <color rgb="FF09FBC7"/>
      <color rgb="FFFFCCFF"/>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901683216"/>
        <c:axId val="1901687536"/>
      </c:barChart>
      <c:catAx>
        <c:axId val="1901683216"/>
        <c:scaling>
          <c:orientation val="minMax"/>
        </c:scaling>
        <c:delete val="0"/>
        <c:axPos val="b"/>
        <c:majorTickMark val="out"/>
        <c:minorTickMark val="none"/>
        <c:tickLblPos val="nextTo"/>
        <c:crossAx val="1901687536"/>
        <c:crosses val="autoZero"/>
        <c:auto val="1"/>
        <c:lblAlgn val="ctr"/>
        <c:lblOffset val="100"/>
        <c:noMultiLvlLbl val="0"/>
      </c:catAx>
      <c:valAx>
        <c:axId val="1901687536"/>
        <c:scaling>
          <c:orientation val="minMax"/>
        </c:scaling>
        <c:delete val="0"/>
        <c:axPos val="l"/>
        <c:majorGridlines/>
        <c:majorTickMark val="out"/>
        <c:minorTickMark val="none"/>
        <c:tickLblPos val="nextTo"/>
        <c:crossAx val="190168321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2</xdr:row>
          <xdr:rowOff>182880</xdr:rowOff>
        </xdr:from>
        <xdr:to>
          <xdr:col>1</xdr:col>
          <xdr:colOff>3680460</xdr:colOff>
          <xdr:row>29</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65176" tIns="324612" rIns="265176" bIns="324612" anchor="ctr" upright="1"/>
            <a:lstStyle/>
            <a:p>
              <a:pPr algn="ctr" rtl="0">
                <a:defRPr sz="1000"/>
              </a:pPr>
              <a:r>
                <a:rPr lang="LID4096" sz="10000" b="1" i="1" u="sng" strike="noStrike" baseline="0">
                  <a:solidFill>
                    <a:srgbClr val="000000"/>
                  </a:solidFill>
                  <a:latin typeface="Arial Black"/>
                </a:rPr>
                <a:t>PHOTOS</a:t>
              </a:r>
            </a:p>
          </xdr:txBody>
        </xdr:sp>
        <xdr:clientData fPrintsWithSheet="0"/>
      </xdr:twoCellAnchor>
    </mc:Choice>
    <mc:Fallback/>
  </mc:AlternateContent>
  <xdr:twoCellAnchor>
    <xdr:from>
      <xdr:col>0</xdr:col>
      <xdr:colOff>0</xdr:colOff>
      <xdr:row>0</xdr:row>
      <xdr:rowOff>0</xdr:rowOff>
    </xdr:from>
    <xdr:to>
      <xdr:col>0</xdr:col>
      <xdr:colOff>12700</xdr:colOff>
      <xdr:row>0</xdr:row>
      <xdr:rowOff>12700</xdr:rowOff>
    </xdr:to>
    <xdr:graphicFrame macro="">
      <xdr:nvGraphicFramePr>
        <xdr:cNvPr id="13" name="Chart 12">
          <a:extLst>
            <a:ext uri="{FF2B5EF4-FFF2-40B4-BE49-F238E27FC236}">
              <a16:creationId xmlns:a16="http://schemas.microsoft.com/office/drawing/2014/main" id="{94159CFB-A0F8-4951-222E-8815D3789C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support.3shape.com/products-unite-software-troubleshooting/2523362-send-step-is-not-present-or-greyed-out-in-the-workflow-bar-for-trios-cases?from_search=177686738" TargetMode="External"/><Relationship Id="rId13" Type="http://schemas.openxmlformats.org/officeDocument/2006/relationships/hyperlink" Target="https://support.3shape.com/products-trios-and-accessories-trios-4-troubleshooting/2522536-internal-color-calibration-fails-error-code-7-8-10-11-or-12-during-trios-calibration?from_search=177948219" TargetMode="External"/><Relationship Id="rId18" Type="http://schemas.openxmlformats.org/officeDocument/2006/relationships/hyperlink" Target="https://support.3shape.com/an-issue-occurred-company-id-set-for-token-does-not-match-pop-up-when-attempting-to-sign-in-to-unite-1871-after-updating-to-unite-cloud-?from_search=180831359" TargetMode="External"/><Relationship Id="rId3" Type="http://schemas.openxmlformats.org/officeDocument/2006/relationships/hyperlink" Target="https://support.3shape.com/an-issue-occurred-company-id-set-for-token-does-not-match-pop-up-when-attempting-to-sign-in-to-unite-1871-after-updating-to-unite-cloud-?from_search=1754531384" TargetMode="External"/><Relationship Id="rId7" Type="http://schemas.openxmlformats.org/officeDocument/2006/relationships/hyperlink" Target="https://support.3shape.com/products-unite-software-how-to/2524707-how-to-update-unite-to-newer-versions?from_search=177670445" TargetMode="External"/><Relationship Id="rId12" Type="http://schemas.openxmlformats.org/officeDocument/2006/relationships/hyperlink" Target="https://support.3shape.com/products-pc/2524193-basic-troubleshooting-of-pc-related-issues?from_search=175484113" TargetMode="External"/><Relationship Id="rId17" Type="http://schemas.openxmlformats.org/officeDocument/2006/relationships/hyperlink" Target="https://support.3shape.com/products-unite-software-how-to/how-export-stldcmply-files-dental-desktop" TargetMode="External"/><Relationship Id="rId2" Type="http://schemas.openxmlformats.org/officeDocument/2006/relationships/hyperlink" Target="https://support.3shape.com/products-pc/2524193-basic-troubleshooting-of-pc-related-issues?from_search=175484113" TargetMode="External"/><Relationship Id="rId16" Type="http://schemas.openxmlformats.org/officeDocument/2006/relationships/hyperlink" Target="https://support.3shape.com/products-trios-and-accessories-trios-5-troubleshooting/black-lines-while-scanning-wireless-connection?from_search=180205339" TargetMode="External"/><Relationship Id="rId20" Type="http://schemas.openxmlformats.org/officeDocument/2006/relationships/printerSettings" Target="../printerSettings/printerSettings2.bin"/><Relationship Id="rId1" Type="http://schemas.openxmlformats.org/officeDocument/2006/relationships/hyperlink" Target="https://support.3shape.com/products-unite-software-how-to/2523166-how-to-import-streams-in-trios-on-dental-desktop-unite" TargetMode="External"/><Relationship Id="rId6" Type="http://schemas.openxmlformats.org/officeDocument/2006/relationships/hyperlink" Target="https://support.3shape.com/products-trios-and-accessories-trios-4-troubleshooting/2522536-internal-color-calibration-fails-error-code-7-8-10-11-or-12-during-trios-calibration?from_search=176377013" TargetMode="External"/><Relationship Id="rId11" Type="http://schemas.openxmlformats.org/officeDocument/2006/relationships/hyperlink" Target="https://support.3shape.com/clinic-sending-files-to-other-clinics-or-labs/case-sent-from-trios-doesnt-appear-invisalign-site?from_search=178288241" TargetMode="External"/><Relationship Id="rId5" Type="http://schemas.openxmlformats.org/officeDocument/2006/relationships/hyperlink" Target="https://support.3shape.com/products-unite-software-how-to/2523166-how-to-import-streams-in-trios-on-dental-desktop-unite" TargetMode="External"/><Relationship Id="rId15" Type="http://schemas.openxmlformats.org/officeDocument/2006/relationships/hyperlink" Target="https://support.3shape.com/3shape-unite-241/a-server-issue-occurred%E2%80%9D-error-appears-after-entering-the-pincode-in-unite-241-?from_search=177259351" TargetMode="External"/><Relationship Id="rId10" Type="http://schemas.openxmlformats.org/officeDocument/2006/relationships/hyperlink" Target="https://support.3shape.com/products-trios-and-accessories-trios-4-troubleshooting/2522536-internal-color-calibration-fails-error-code-7-8-10-11-or-12-during-trios-calibration?from_search=176377013" TargetMode="External"/><Relationship Id="rId19" Type="http://schemas.openxmlformats.org/officeDocument/2006/relationships/hyperlink" Target="https://support.3shape.com/products-3shape-unite-connections-and-integrations-how-to/clear-correct-classic-drportal-3shape-unite-integration-guide?from_search=180993325" TargetMode="External"/><Relationship Id="rId4" Type="http://schemas.openxmlformats.org/officeDocument/2006/relationships/hyperlink" Target="https://support.3shape.com/3shape-unite-old-articles/2522713-how-to-add-a-connection-on-3shape-communicate-from-the-dental-desktop-platform?from_search=176462253" TargetMode="External"/><Relationship Id="rId9" Type="http://schemas.openxmlformats.org/officeDocument/2006/relationships/hyperlink" Target="https://support.3shape.com/clinic-processing-scans/trios-3-scanner-runs-slow-when-ai-scan-is-enabled?from_search=178248534" TargetMode="External"/><Relationship Id="rId14" Type="http://schemas.openxmlformats.org/officeDocument/2006/relationships/hyperlink" Target="https://support.3shape.com/products-pc/2524193-basic-troubleshooting-of-pc-related-issues?from_search=1754841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FABD7-19C3-4300-BC4F-0FAEDBD066A8}">
  <sheetPr codeName="Sheet1"/>
  <dimension ref="A1:AG61"/>
  <sheetViews>
    <sheetView tabSelected="1" zoomScale="25" zoomScaleNormal="25" workbookViewId="0">
      <selection activeCell="C1" sqref="C1:E1"/>
    </sheetView>
  </sheetViews>
  <sheetFormatPr defaultColWidth="13.77734375" defaultRowHeight="14.4" x14ac:dyDescent="0.3"/>
  <cols>
    <col min="1" max="1" width="102.33203125" customWidth="1"/>
    <col min="2" max="2" width="159.33203125" customWidth="1"/>
  </cols>
  <sheetData>
    <row r="1" spans="1:2" ht="298.2" customHeight="1" x14ac:dyDescent="0.3">
      <c r="A1" s="28" t="s">
        <v>2</v>
      </c>
      <c r="B1" s="28"/>
    </row>
    <row r="2" spans="1:2" ht="16.5" customHeight="1" x14ac:dyDescent="0.3"/>
    <row r="3" spans="1:2" ht="14.4" customHeight="1" x14ac:dyDescent="0.3"/>
    <row r="5" spans="1:2" ht="14.4" customHeight="1" x14ac:dyDescent="0.3"/>
    <row r="6" spans="1:2" ht="15" customHeight="1" x14ac:dyDescent="0.3"/>
    <row r="8" spans="1:2" ht="14.4" customHeight="1" x14ac:dyDescent="0.3"/>
    <row r="11" spans="1:2" ht="14.4" customHeight="1" x14ac:dyDescent="0.3"/>
    <row r="13" spans="1:2" ht="16.2" customHeight="1" x14ac:dyDescent="0.3"/>
    <row r="14" spans="1:2" ht="14.4" customHeight="1" x14ac:dyDescent="0.3"/>
    <row r="15" spans="1:2" ht="14.4" customHeight="1" x14ac:dyDescent="0.3"/>
    <row r="16" spans="1:2" ht="14.4" customHeight="1" x14ac:dyDescent="0.3"/>
    <row r="18" spans="27:33" ht="15" customHeight="1" x14ac:dyDescent="0.3"/>
    <row r="22" spans="27:33" ht="13.95" customHeight="1" x14ac:dyDescent="0.3"/>
    <row r="23" spans="27:33" ht="14.4" customHeight="1" x14ac:dyDescent="0.3"/>
    <row r="24" spans="27:33" ht="14.4" customHeight="1" x14ac:dyDescent="0.3"/>
    <row r="25" spans="27:33" x14ac:dyDescent="0.3">
      <c r="AA25" s="19"/>
      <c r="AB25" s="19"/>
      <c r="AC25" s="19"/>
      <c r="AD25" s="19"/>
      <c r="AE25" s="19"/>
      <c r="AF25" s="19"/>
      <c r="AG25" s="19"/>
    </row>
    <row r="26" spans="27:33" ht="15" customHeight="1" x14ac:dyDescent="0.3">
      <c r="AA26" s="19"/>
      <c r="AB26" s="19"/>
      <c r="AC26" s="19"/>
      <c r="AD26" s="19"/>
      <c r="AE26" s="19"/>
      <c r="AF26" s="19"/>
      <c r="AG26" s="19"/>
    </row>
    <row r="27" spans="27:33" ht="27.6" customHeight="1" x14ac:dyDescent="0.3">
      <c r="AA27" s="19"/>
      <c r="AB27" s="19"/>
      <c r="AC27" s="19"/>
      <c r="AD27" s="19"/>
      <c r="AE27" s="19"/>
      <c r="AF27" s="19"/>
      <c r="AG27" s="19"/>
    </row>
    <row r="28" spans="27:33" ht="14.4" customHeight="1" x14ac:dyDescent="0.3">
      <c r="AA28" s="19"/>
      <c r="AB28" s="19"/>
      <c r="AC28" s="19"/>
      <c r="AD28" s="19"/>
      <c r="AE28" s="19"/>
      <c r="AF28" s="19"/>
      <c r="AG28" s="19"/>
    </row>
    <row r="29" spans="27:33" x14ac:dyDescent="0.3">
      <c r="AA29" s="19"/>
      <c r="AB29" s="19"/>
      <c r="AC29" s="19"/>
      <c r="AD29" s="19"/>
      <c r="AE29" s="19"/>
      <c r="AF29" s="19"/>
      <c r="AG29" s="19"/>
    </row>
    <row r="30" spans="27:33" x14ac:dyDescent="0.3">
      <c r="AA30" s="19"/>
      <c r="AB30" s="19"/>
      <c r="AC30" s="19"/>
      <c r="AD30" s="19"/>
      <c r="AE30" s="19"/>
      <c r="AF30" s="19"/>
      <c r="AG30" s="19"/>
    </row>
    <row r="31" spans="27:33" x14ac:dyDescent="0.3">
      <c r="AA31" s="19"/>
      <c r="AB31" s="19"/>
      <c r="AC31" s="19"/>
      <c r="AD31" s="19"/>
      <c r="AE31" s="19"/>
      <c r="AF31" s="19"/>
      <c r="AG31" s="19"/>
    </row>
    <row r="32" spans="27:33" x14ac:dyDescent="0.3">
      <c r="AA32" s="19"/>
      <c r="AB32" s="19"/>
      <c r="AC32" s="19"/>
      <c r="AD32" s="19"/>
      <c r="AE32" s="19"/>
      <c r="AF32" s="19"/>
      <c r="AG32" s="19"/>
    </row>
    <row r="33" spans="27:33" x14ac:dyDescent="0.3">
      <c r="AA33" s="19"/>
      <c r="AB33" s="19"/>
      <c r="AC33" s="19"/>
      <c r="AD33" s="19"/>
      <c r="AE33" s="19"/>
      <c r="AF33" s="19"/>
      <c r="AG33" s="19"/>
    </row>
    <row r="34" spans="27:33" x14ac:dyDescent="0.3">
      <c r="AA34" s="19"/>
      <c r="AB34" s="19"/>
      <c r="AC34" s="19"/>
      <c r="AD34" s="19"/>
      <c r="AE34" s="19"/>
      <c r="AF34" s="19"/>
      <c r="AG34" s="19"/>
    </row>
    <row r="35" spans="27:33" x14ac:dyDescent="0.3">
      <c r="AA35" s="19"/>
      <c r="AB35" s="19"/>
      <c r="AC35" s="19"/>
      <c r="AD35" s="19"/>
      <c r="AE35" s="19"/>
      <c r="AF35" s="19"/>
      <c r="AG35" s="19"/>
    </row>
    <row r="40" spans="27:33" ht="15" customHeight="1" x14ac:dyDescent="0.3"/>
    <row r="41" spans="27:33" ht="31.2" customHeight="1" x14ac:dyDescent="0.3"/>
    <row r="42" spans="27:33" ht="31.2" customHeight="1" x14ac:dyDescent="0.3"/>
    <row r="43" spans="27:33" ht="31.2" customHeight="1" x14ac:dyDescent="0.3"/>
    <row r="44" spans="27:33" ht="31.2" customHeight="1" x14ac:dyDescent="0.3"/>
    <row r="45" spans="27:33" ht="31.2" customHeight="1" x14ac:dyDescent="0.3"/>
    <row r="46" spans="27:33" ht="31.2" customHeight="1" x14ac:dyDescent="0.3"/>
    <row r="47" spans="27:33" ht="31.2" customHeight="1" x14ac:dyDescent="0.3"/>
    <row r="48" spans="27:33" ht="31.2" customHeight="1" x14ac:dyDescent="0.3"/>
    <row r="49" ht="31.2" customHeight="1" x14ac:dyDescent="0.3"/>
    <row r="50" ht="31.2" customHeight="1" x14ac:dyDescent="0.3"/>
    <row r="51" ht="31.2" customHeight="1" x14ac:dyDescent="0.3"/>
    <row r="52" ht="31.2" customHeight="1" x14ac:dyDescent="0.3"/>
    <row r="53" ht="31.2" customHeight="1" x14ac:dyDescent="0.3"/>
    <row r="54" ht="31.2" customHeight="1" x14ac:dyDescent="0.3"/>
    <row r="55" ht="31.2" customHeight="1" x14ac:dyDescent="0.3"/>
    <row r="56" ht="31.2" customHeight="1" x14ac:dyDescent="0.3"/>
    <row r="57" ht="31.2" customHeight="1" x14ac:dyDescent="0.3"/>
    <row r="58" ht="31.2" customHeight="1" x14ac:dyDescent="0.3"/>
    <row r="59" ht="31.2" customHeight="1" x14ac:dyDescent="0.3"/>
    <row r="60" ht="31.2" customHeight="1" x14ac:dyDescent="0.3"/>
    <row r="61" ht="31.2" customHeight="1" x14ac:dyDescent="0.3"/>
  </sheetData>
  <sheetProtection selectLockedCells="1"/>
  <dataValidations count="4">
    <dataValidation type="list" allowBlank="1" showInputMessage="1" showErrorMessage="1" sqref="F4:H4" xr:uid="{5F724576-D3FD-4816-BE37-2FD0A479F127}">
      <formula1>INDIRECT($F$3)</formula1>
    </dataValidation>
    <dataValidation type="list" allowBlank="1" showInputMessage="1" showErrorMessage="1" sqref="F2:G2 F5:G5" xr:uid="{DD75386F-1965-4829-BA09-C3E6154E221F}">
      <formula1>"Si, No"</formula1>
    </dataValidation>
    <dataValidation type="list" allowBlank="1" showInputMessage="1" showErrorMessage="1" sqref="N27" xr:uid="{54F858C9-2D7F-4528-961A-348AE6EFEBC6}">
      <formula1>"11,14,15"</formula1>
    </dataValidation>
    <dataValidation type="list" allowBlank="1" showInputMessage="1" showErrorMessage="1" sqref="E7:H7" xr:uid="{F090F8CD-34EA-44D0-A231-95956460434C}">
      <formula1>"TRIOS Module,Unite, Dental Desktop, Model builder Express"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aveEachImageAsJPG">
                <anchor moveWithCells="1">
                  <from>
                    <xdr:col>0</xdr:col>
                    <xdr:colOff>609600</xdr:colOff>
                    <xdr:row>2</xdr:row>
                    <xdr:rowOff>182880</xdr:rowOff>
                  </from>
                  <to>
                    <xdr:col>1</xdr:col>
                    <xdr:colOff>3680460</xdr:colOff>
                    <xdr:row>29</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621BC50-31C3-468F-8C88-3C0E95C9DDB8}">
          <x14:formula1>
            <xm:f>TEU!$B$2:$Y$2</xm:f>
          </x14:formula1>
          <xm:sqref>F3:H3</xm:sqref>
        </x14:dataValidation>
        <x14:dataValidation type="list" allowBlank="1" showInputMessage="1" showErrorMessage="1" xr:uid="{7BF0F9EC-AE86-4DF1-ACF8-FA4CDE42EAE7}">
          <x14:formula1>
            <xm:f>TEU!$AS$4:$AS$1000</xm:f>
          </x14:formula1>
          <xm:sqref>L27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81439-77F2-4186-A9AC-02D68D0D1F1B}">
  <sheetPr codeName="Sheet2"/>
  <dimension ref="A1:BE633"/>
  <sheetViews>
    <sheetView topLeftCell="A26" zoomScale="70" zoomScaleNormal="70" workbookViewId="0">
      <selection activeCell="Z28" sqref="Z28"/>
    </sheetView>
  </sheetViews>
  <sheetFormatPr defaultRowHeight="15" customHeight="1" x14ac:dyDescent="0.3"/>
  <cols>
    <col min="1" max="1" width="9.109375" bestFit="1" customWidth="1"/>
    <col min="2" max="3" width="23.109375" customWidth="1"/>
    <col min="4" max="6" width="23.44140625" customWidth="1"/>
    <col min="7" max="7" width="25.33203125" customWidth="1"/>
    <col min="8" max="8" width="36" customWidth="1"/>
    <col min="9" max="9" width="30.88671875" customWidth="1"/>
    <col min="10" max="10" width="3.44140625" customWidth="1"/>
    <col min="11" max="11" width="3.109375" customWidth="1"/>
    <col min="12" max="12" width="2.6640625" customWidth="1"/>
    <col min="13" max="14" width="23.109375" customWidth="1"/>
    <col min="15" max="17" width="23.44140625" style="3" customWidth="1"/>
    <col min="18" max="19" width="23.44140625" customWidth="1"/>
    <col min="20" max="21" width="37.109375" customWidth="1"/>
    <col min="22" max="22" width="3.5546875" customWidth="1"/>
    <col min="23" max="24" width="3" customWidth="1"/>
    <col min="25" max="25" width="13.6640625" bestFit="1" customWidth="1"/>
    <col min="26" max="26" width="34.6640625" customWidth="1"/>
    <col min="29" max="29" width="23.6640625" customWidth="1"/>
    <col min="30" max="30" width="16.5546875" customWidth="1"/>
    <col min="31" max="31" width="11.109375" customWidth="1"/>
    <col min="32" max="32" width="24.6640625" customWidth="1"/>
    <col min="45" max="45" width="14.109375" customWidth="1"/>
  </cols>
  <sheetData>
    <row r="1" spans="2:57" ht="14.4" x14ac:dyDescent="0.3"/>
    <row r="2" spans="2:57" ht="14.4" customHeight="1" x14ac:dyDescent="0.3">
      <c r="B2" s="69" t="s">
        <v>5</v>
      </c>
      <c r="C2" s="69"/>
      <c r="D2" s="69"/>
      <c r="E2" s="69"/>
      <c r="F2" s="69"/>
      <c r="G2" s="69"/>
      <c r="H2" s="69"/>
      <c r="I2" s="69"/>
      <c r="M2" s="66" t="s">
        <v>0</v>
      </c>
      <c r="N2" s="67"/>
      <c r="O2" s="67"/>
      <c r="P2" s="67"/>
      <c r="Q2" s="67"/>
      <c r="R2" s="67"/>
      <c r="S2" s="67"/>
      <c r="T2" s="67"/>
      <c r="U2" s="68"/>
      <c r="Y2" s="54" t="s">
        <v>6</v>
      </c>
      <c r="Z2" s="55"/>
      <c r="AA2" s="55"/>
      <c r="AB2" s="55"/>
      <c r="AC2" s="55"/>
      <c r="AD2" s="55"/>
      <c r="AE2" s="55"/>
      <c r="AF2" s="55"/>
      <c r="AG2" s="56"/>
    </row>
    <row r="3" spans="2:57" ht="14.4" x14ac:dyDescent="0.3">
      <c r="B3" s="5" t="s">
        <v>7</v>
      </c>
      <c r="C3" s="9" t="s">
        <v>8</v>
      </c>
      <c r="D3" s="48" t="s">
        <v>9</v>
      </c>
      <c r="E3" s="48"/>
      <c r="F3" s="48" t="s">
        <v>10</v>
      </c>
      <c r="G3" s="48"/>
      <c r="H3" s="62" t="s">
        <v>11</v>
      </c>
      <c r="I3" s="62"/>
      <c r="M3" s="5" t="s">
        <v>7</v>
      </c>
      <c r="N3" s="5" t="s">
        <v>8</v>
      </c>
      <c r="O3" s="57" t="s">
        <v>9</v>
      </c>
      <c r="P3" s="58"/>
      <c r="Q3" s="59"/>
      <c r="R3" s="60" t="s">
        <v>10</v>
      </c>
      <c r="S3" s="61"/>
      <c r="T3" s="70" t="s">
        <v>11</v>
      </c>
      <c r="U3" s="70"/>
      <c r="Y3" s="5" t="s">
        <v>7</v>
      </c>
      <c r="Z3" s="5" t="s">
        <v>8</v>
      </c>
      <c r="AA3" s="57" t="s">
        <v>9</v>
      </c>
      <c r="AB3" s="58"/>
      <c r="AC3" s="59"/>
      <c r="AD3" s="60" t="s">
        <v>10</v>
      </c>
      <c r="AE3" s="61"/>
      <c r="AF3" s="62" t="s">
        <v>11</v>
      </c>
      <c r="AG3" s="62"/>
      <c r="AJ3" s="74" t="s">
        <v>3</v>
      </c>
      <c r="AK3" s="74"/>
      <c r="AL3" s="74"/>
      <c r="AM3" s="74"/>
      <c r="AN3" s="74"/>
      <c r="AO3" s="74"/>
      <c r="AP3" s="74"/>
      <c r="AS3" s="71" t="s">
        <v>12</v>
      </c>
      <c r="AT3" s="71"/>
      <c r="AU3" s="71"/>
      <c r="AV3" s="71"/>
      <c r="AW3" s="71"/>
      <c r="AX3" s="71"/>
      <c r="AY3" s="71"/>
      <c r="AZ3" s="71"/>
      <c r="BA3" s="71"/>
      <c r="BB3" s="71"/>
      <c r="BC3" s="71"/>
      <c r="BD3" s="71"/>
      <c r="BE3" s="71"/>
    </row>
    <row r="4" spans="2:57" s="4" customFormat="1" ht="408" customHeight="1" x14ac:dyDescent="0.3">
      <c r="B4" s="8" t="s">
        <v>13</v>
      </c>
      <c r="C4" s="14" t="s">
        <v>14</v>
      </c>
      <c r="D4" s="52" t="str">
        <f>_xlfn.CONCAT($Z$2, CHAR(10),CHAR(10),"- Went to the Event Log and found the case mentioned by the customer",CHAR(10),"- Located the case id in the Event Logs",CHAR(10),"- Created a new case with the instructions set by the customer",CHAR(10),"- Reimported the streams.",CHAR(10),"- Case successfully post-processed and sent to Lab",CHAR(10),"- Issue resolved")</f>
        <v xml:space="preserve">
- Went to the Event Log and found the case mentioned by the customer
- Located the case id in the Event Logs
- Created a new case with the instructions set by the customer
- Reimported the streams.
- Case successfully post-processed and sent to Lab
- Issue resolved</v>
      </c>
      <c r="E4" s="52"/>
      <c r="F4" s="37"/>
      <c r="G4" s="37"/>
      <c r="H4" s="33" t="str">
        <f>_xlfn.CONCAT("Dear ", Templates!$B$6,CHAR(10), CHAR(10), "I hope this email finds you well.", CHAR(10), CHAR(10), "I am writing in reference to your recent call to our technical support center regarding the request of how-to reimoprt the streams of a case", CHAR(10), CHAR(10), "We have addressed this request by reimporting the streams of the case, in a new one. Other option is to export the .STL or .DCM extensions documents, so you can use them in another case, be aware these documents will not include the streams of the case",CHAR(10), CHAR(10),$AJ$4)</f>
        <v xml:space="preserve">Dear 
I hope this email finds you well.
I am writing in reference to your recent call to our technical support center regarding the request of how-to reimoprt the streams of a case
We have addressed this request by reimporting the streams of the case, in a new one. Other option is to export the .STL or .DCM extensions documents, so you can use them in another case, be aware these documents will not include the streams of the case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4" s="33"/>
      <c r="M4" s="11" t="s">
        <v>15</v>
      </c>
      <c r="N4" s="26"/>
      <c r="O4" s="41" t="s">
        <v>16</v>
      </c>
      <c r="P4" s="41"/>
      <c r="Q4" s="41"/>
      <c r="R4" s="76"/>
      <c r="S4" s="76"/>
      <c r="T4" s="77" t="str">
        <f>_xlfn.CONCAT("Dear ", Templates!$B$6,CHAR(10), CHAR(10), "I hope this email finds you well.", CHAR(10), CHAR(10), "I am writing in reference to your recent call to our technical support center regarding the creation of an new account and/or to add an in-house laboratory.",CHAR(10),CHAR(10), "I’m pleased to inform you that we have resolved this request, we created a new 3shape account with the in-house email in communicate portal and then added the new member in communicate, at the end the connection was completed", CHAR(10), CHAR(10)," Please follow the steps below to connect to another lab in the future:", CHAR(10),CHAR(10),
"1. Go to ‘Labs’ and search for the lab in the search field (email).",CHAR(10),
"2. Once you have found the lab, click ‘Install’.",CHAR(10),
"3. You have now triggered a connection request which will have to be approved by the lab.",CHAR(10),
"4. Once the lab has approved your request to connect, the status on the lab will change from ‘pending’ to ‘installed’.",CHAR(10),
"In case you want to add a new user in the device, follow the steps below:", CHAR(10),CHAR(10),
"1. Click the menu icon(3 horizontla lines).",CHAR(10),
"2. Click the SETTINGS option",CHAR(10),
"3. Go to the GENERAL tab.",CHAR(10),
"4. Then hit in USERS",CHAR(10),
"5. There will be an option to add a new one with email and password of the 3shape account",CHAR(10),
"NOTE. In case this option is not availble in this section, plese sign-out of unite, and in the welcome page you will also see the option of ADD A NEW USER available.",CHAR(10),
 $R$4, CHAR(10),CHAR(10),$AJ$4)</f>
        <v xml:space="preserve">Dear 
I hope this email finds you well.
I am writing in reference to your recent call to our technical support center regarding the creation of an new account and/or to add an in-house laboratory.
I’m pleased to inform you that we have resolved this request, we created a new 3shape account with the in-house email in communicate portal and then added the new member in communicate, at the end the connection was completed
 Please follow the steps below to connect to another lab in the future:
1. Go to ‘Labs’ and search for the lab in the search field (email).
2. Once you have found the lab, click ‘Install’.
3. You have now triggered a connection request which will have to be approved by the lab.
4. Once the lab has approved your request to connect, the status on the lab will change from ‘pending’ to ‘installed’.
In case you want to add a new user in the device, follow the steps below:
1. Click the menu icon(3 horizontla lines).
2. Click the SETTINGS option
3. Go to the GENERAL tab.
4. Then hit in USERS
5. There will be an option to add a new one with email and password of the 3shape account
NOTE. In case this option is not availble in this section, plese sign-out of unite, and in the welcome page you will also see the option of ADD A NEW USER available.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4" s="78"/>
      <c r="Y4" s="2" t="s">
        <v>17</v>
      </c>
      <c r="Z4" s="7" t="s">
        <v>18</v>
      </c>
      <c r="AA4" s="63" t="s">
        <v>19</v>
      </c>
      <c r="AB4" s="63"/>
      <c r="AC4" s="63"/>
      <c r="AD4" s="64"/>
      <c r="AE4" s="64"/>
      <c r="AF4" s="65" t="str">
        <f>_xlfn.CONCAT("Hi ",Templates!$B$6, CHAR(10),
"I hope this email finds you well.", CHAR(10), CHAR(10),
"I wanted to follow up on our call today regarding the assistance provided for --MISCELLANEOUS REQUEST--.", CHAR(10), CHAR(10),
"I trust that the support service has helped resolve the issues you were facing.", CHAR(10), CHAR(10),
"Thank you for choosing to be a part of the 3Shape family. Your satisfaction is important to us, and we are always here to assist you further if needed.", CHAR(10), CHAR(10),
"Please don't hesitate to reach out if you have any additional questions or require further assistance.", CHAR(10), CHAR(10),
"Thank you and best regards,", CHAR(10))</f>
        <v xml:space="preserve">Hi 
I hope this email finds you well.
I wanted to follow up on our call today regarding the assistance provided for --MISCELLANEOUS REQUEST--.
I trust that the support service has helped resolve the issues you were facing.
Thank you for choosing to be a part of the 3Shape family. Your satisfaction is important to us, and we are always here to assist you further if needed.
Please don't hesitate to reach out if you have any additional questions or require further assistance.
Thank you and best regards,
</v>
      </c>
      <c r="AG4" s="38"/>
      <c r="AJ4" s="72" t="str">
        <f>_xlfn.CONCAT("Thank you for allowing me to assist you today. I would greatly appreciate it if you could take a moment to provide feedback on my service by completing the following survey: ",CHAR(10), CHAR(10), "https://",Templates!$B$26, CHAR(10), CHAR(10),
"At the end of the survey, please leave a note about your experience during this interaction. ", "Your patience and understanding throughout the process are greatly appreciated, and your feedback will help us continue improving our services as we strive for excellence.", CHAR(10), CHAR(10))</f>
        <v xml:space="preserve">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AK4" s="37"/>
      <c r="AL4" s="37"/>
      <c r="AM4" s="37"/>
      <c r="AN4" s="37"/>
      <c r="AO4" s="37"/>
      <c r="AP4" s="73"/>
      <c r="AS4" s="6" t="s">
        <v>4</v>
      </c>
      <c r="AT4" s="33" t="str">
        <f>_xlfn.CONCAT(" cd ..\..",CHAR(10),
" $programData = [System.Environment]::GetFolderPath('CommonApplicationData') ",CHAR(10),
" $public = $env:PUBLIC ",CHAR(10),
" $source = Join-Path -Path $programData -ChildPath ",CHAR(34),"3Shape\DentalDesktop\Logs",CHAR(34),CHAR(10),
" $destination = Join-Path -Path $public -ChildPath ",CHAR(34),"CAS_", Templates!$B$1, CHAR(34),CHAR(10),
" $destination1 = Join-Path -Path $public -ChildPath ",CHAR(34),"CAS_",Templates!$B$1,".zip", CHAR(34),CHAR(10),
" Copy-Item -Path $source -Destination $destination -Recurse -Force",CHAR(10),
" Compress-Archive -Path $destination  -DestinationPath $destination1",CHAR(10),
" Remove-Item -Path $destination -Force",CHAR(10),
" Start-Process explorer.exe $public ")</f>
        <v xml:space="preserve"> cd ..\..
 $programData = [System.Environment]::GetFolderPath('CommonApplicationData') 
 $public = $env:PUBLIC 
 $source = Join-Path -Path $programData -ChildPath "3Shape\DentalDesktop\Logs"
 $destination = Join-Path -Path $public -ChildPath "CAS_"
 $destination1 = Join-Path -Path $public -ChildPath "CAS_.zip"
 Copy-Item -Path $source -Destination $destination -Recurse -Force
 Compress-Archive -Path $destination  -DestinationPath $destination1
 Remove-Item -Path $destination -Force
 Start-Process explorer.exe $public </v>
      </c>
      <c r="AU4" s="33"/>
      <c r="AV4" s="33"/>
      <c r="AW4" s="33"/>
      <c r="AX4" s="33"/>
      <c r="AY4" s="33"/>
      <c r="AZ4" s="38"/>
      <c r="BA4" s="75" t="s">
        <v>20</v>
      </c>
      <c r="BB4" s="46"/>
      <c r="BC4" s="46"/>
      <c r="BD4" s="46"/>
      <c r="BE4" s="46"/>
    </row>
    <row r="5" spans="2:57" s="4" customFormat="1" ht="248.25" customHeight="1" x14ac:dyDescent="0.3">
      <c r="B5" s="6" t="s">
        <v>21</v>
      </c>
      <c r="C5" s="14" t="s">
        <v>18</v>
      </c>
      <c r="D5" s="33" t="str">
        <f>_xlfn.CONCAT($Z$2, CHAR(10),CHAR(10), "- Windows Updates Checked",CHAR(10), "- Nvidia Drivers Updated",CHAR(10), "- SpeedTest performed",CHAR(10), " - System File Checker command runned to scan the integrity and restore missing or corrupted system files",CHAR(10), "- Nvidia GraphicsCard set to maximum performance ",CHAR(10),"- PC rebooted to clean processes")</f>
        <v xml:space="preserve">
- Windows Updates Checked
- Nvidia Drivers Updated
- SpeedTest performed
 - System File Checker command runned to scan the integrity and restore missing or corrupted system files
- Nvidia GraphicsCard set to maximum performance 
- PC rebooted to clean processes</v>
      </c>
      <c r="E5" s="33"/>
      <c r="F5" s="47" t="s">
        <v>22</v>
      </c>
      <c r="G5" s="47"/>
      <c r="H5" s="33" t="str">
        <f>_xlfn.CONCAT("Dear ", Templates!$B$6,CHAR(10), CHAR(10), "I hope this email finds you well.", CHAR(10), CHAR(10), "I am writing in reference to your recent call to our technical support center regarding the request of boost the performance of your computer to get a better experience with the 3Shape Unite software.",CHAR(10),CHAR(10), "I’m pleased to inform you that we have addressed this request applying the following settings. ", " Your computer has been rebooted, the graphics card settings have been optimized for maximum performance, and the drivers have been updated to ensure smooth operation."," Additionally, the system has been fully optimized to deliver the best performance for your 3Shape App.", CHAR(10), CHAR(10), $F$5, CHAR(10),CHAR(10),$AJ$4)</f>
        <v xml:space="preserve">Dear 
I hope this email finds you well.
I am writing in reference to your recent call to our technical support center regarding the request of boost the performance of your computer to get a better experience with the 3Shape Unite software.
I’m pleased to inform you that we have addressed this request applying the following settings.  Your computer has been rebooted, the graphics card settings have been optimized for maximum performance, and the drivers have been updated to ensure smooth operation. Additionally, the system has been fully optimized to deliver the best performance for your 3Shape App.
Additionally,  to prevent slow performance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5" s="33"/>
      <c r="M5" s="11" t="s">
        <v>23</v>
      </c>
      <c r="N5" s="26" t="s">
        <v>18</v>
      </c>
      <c r="O5" s="41" t="str">
        <f>_xlfn.TEXTJOIN(CHAR(10) &amp; "- ", TRUE, Templates!$J$41:$J$61)</f>
        <v/>
      </c>
      <c r="P5" s="41"/>
      <c r="Q5" s="41"/>
      <c r="R5" s="76" t="s">
        <v>24</v>
      </c>
      <c r="S5" s="76"/>
      <c r="T5" s="77" t="str">
        <f>_xlfn.CONCAT("Dear ", Templates!$B$6,CHAR(10), CHAR(10), "I hope this email finds you well.", CHAR(10), CHAR(10), "I am writing in reference to your recent call to our technical support center regarding the slow performance of your computer while using the 3Shape Unite software."," The issue was caused by the computer being continuously powered on for over 15 days, as well as the graphics card not being configured for maximum performance and some outdated drivers.",CHAR(10),CHAR(10), "I’m pleased to inform you that we have resolved this issue. Your computer has been rebooted, the graphics card settings have been optimized for maximum performance, and the drivers have been updated to ensure smooth operation."," Additionally, the system has been fully optimized to deliver the best performance for your 3Shape App.", CHAR(10), CHAR(10), $R$5, CHAR(10),CHAR(10),$AJ$4)</f>
        <v xml:space="preserve">Dear 
I hope this email finds you well.
I am writing in reference to your recent call to our technical support center regarding the slow performance of your computer while using the 3Shape Unite software. The issue was caused by the computer being continuously powered on for over 15 days, as well as the graphics card not being configured for maximum performance and some outdated drivers.
I’m pleased to inform you that we have resolved this issue. Your computer has been rebooted, the graphics card settings have been optimized for maximum performance, and the drivers have been updated to ensure smooth operation. Additionally, the system has been fully optimized to deliver the best performance for your 3Shape App.
Additionally,  to prevent similar issues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5" s="78"/>
      <c r="Z5" s="1"/>
      <c r="AA5" s="1"/>
      <c r="AB5" s="1"/>
      <c r="AC5" s="1"/>
      <c r="AR5" s="18"/>
      <c r="AS5" s="6" t="s">
        <v>25</v>
      </c>
      <c r="AT5" s="33" t="str">
        <f>_xlfn.CONCAT(" cd ..\..",CHAR(10),
    "# Definir la variable de la carpeta de respaldo", CHAR(10),
    "$BACKUP_DIR = "".\3ddbackup""", CHAR(10),
    "# Crear la carpeta de respaldo si no existe", CHAR(10),
    "if (-not (Test-Path -Path $BACKUP_DIR)) {", CHAR(10),
    "    New-Item -Path $BACKUP_DIR -ItemType Directory", CHAR(10),
    "}", CHAR(10),
    "# Obtener las rutas de las variables de entorno", CHAR(10),
    "$ProgramData = [System.Environment]::GetEnvironmentVariable(""ProgramData"")", CHAR(10),
    "$ProgramFiles = [System.Environment]::GetEnvironmentVariable(""ProgramFiles"")", CHAR(10),
    "# Copiar el contenido de DentalDesktop", CHAR(10),
    "$sourceDentalDesktop = Join-Path -Path $ProgramData -ChildPath ""3Shape\DentalDesktop""", CHAR(10),
    "$destinationDentalDesktop = Join-Path -Path $BACKUP_DIR -ChildPath ""DentalDesktop""", CHAR(10),
    "Copy-Item -Path $sourceDentalDesktop -Destination $destinationDentalDesktop -Recurse -Force", CHAR(10),
    "# Copiar el contenido de MSSQL15.THREESHAPEDENTAL", CHAR(10),
    "$sourceMSSQL = Join-Path -Path $ProgramFiles -ChildPath ""Microsoft SQL Server\MSSQL",Templates!$N$27,".THREESHAPEDENTAL""", CHAR(10),
    "$destinationMSSQL = Join-Path -Path $BACKUP_DIR -ChildPath ""MSSQL15.THREESHAPEDENTAL""", CHAR(10),
    "Copy-Item -Path $sourceMSSQL -Destination $destinationMSSQL -Recurse -Force", CHAR(10),
    "# Abrir el explorador de archivos en la carpeta de respaldo", CHAR(10),
    "Start-Process explorer.exe -ArgumentList $BACKUP_DIR"
)</f>
        <v xml:space="preserve"> cd ..\..
# Definir la variable de la carpeta de respaldo
$BACKUP_DIR = ".\3ddbackup"
# Crear la carpeta de respaldo si no existe
if (-not (Test-Path -Path $BACKUP_DIR)) {
    New-Item -Path $BACKUP_DIR -ItemType Directory
}
# Obtener las rutas de las variables de entorno
$ProgramData = [System.Environment]::GetEnvironmentVariable("ProgramData")
$ProgramFiles = [System.Environment]::GetEnvironmentVariable("ProgramFiles")
# Copiar el contenido de DentalDesktop
$sourceDentalDesktop = Join-Path -Path $ProgramData -ChildPath "3Shape\DentalDesktop"
$destinationDentalDesktop = Join-Path -Path $BACKUP_DIR -ChildPath "DentalDesktop"
Copy-Item -Path $sourceDentalDesktop -Destination $destinationDentalDesktop -Recurse -Force
# Copiar el contenido de MSSQL15.THREESHAPEDENTAL
$sourceMSSQL = Join-Path -Path $ProgramFiles -ChildPath "Microsoft SQL Server\MSSQL.THREESHAPEDENTAL"
$destinationMSSQL = Join-Path -Path $BACKUP_DIR -ChildPath "MSSQL15.THREESHAPEDENTAL"
Copy-Item -Path $sourceMSSQL -Destination $destinationMSSQL -Recurse -Force
# Abrir el explorador de archivos en la carpeta de respaldo
Start-Process explorer.exe -ArgumentList $BACKUP_DIR</v>
      </c>
      <c r="AU5" s="33"/>
      <c r="AV5" s="33"/>
      <c r="AW5" s="33"/>
      <c r="AX5" s="33"/>
      <c r="AY5" s="33"/>
      <c r="AZ5" s="38"/>
      <c r="BA5" s="75" t="s">
        <v>20</v>
      </c>
      <c r="BB5" s="46"/>
      <c r="BC5" s="46"/>
      <c r="BD5" s="46"/>
      <c r="BE5" s="46"/>
    </row>
    <row r="6" spans="2:57" s="4" customFormat="1" ht="253.2" customHeight="1" x14ac:dyDescent="0.3">
      <c r="B6" s="6" t="s">
        <v>26</v>
      </c>
      <c r="C6" s="10"/>
      <c r="D6" s="37" t="s">
        <v>27</v>
      </c>
      <c r="E6" s="37"/>
      <c r="F6" s="47" t="s">
        <v>22</v>
      </c>
      <c r="G6" s="47"/>
      <c r="H6" s="33" t="str">
        <f>_xlfn.CONCAT("Dear ", Templates!$B$6,CHAR(10), CHAR(10), "I hope this email finds you well.", CHAR(10), CHAR(10), "I am writing in reference to your recent call to our technical support center regarding the request to Setup your 3Shape Unite software.",CHAR(10),CHAR(10), "I’m pleased to inform you that we have addressed this request by installing the latest version of Unite in your computer. ", " Your computer has been rebooted, the graphics card settings have been optimized for maximum performance, and the drivers have been updated to ensure smooth operation."," Also the system has been fully optimized to deliver the best performance for your 3Shape App.", CHAR(10), CHAR(10), $F$5, CHAR(10),CHAR(10),$AJ$4)</f>
        <v xml:space="preserve">Dear 
I hope this email finds you well.
I am writing in reference to your recent call to our technical support center regarding the request to Setup your 3Shape Unite software.
I’m pleased to inform you that we have addressed this request by installing the latest version of Unite in your computer.  Your computer has been rebooted, the graphics card settings have been optimized for maximum performance, and the drivers have been updated to ensure smooth operation. Also the system has been fully optimized to deliver the best performance for your 3Shape App.
Additionally,  to prevent slow performance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6" s="33"/>
      <c r="M6" s="4" t="s">
        <v>28</v>
      </c>
      <c r="N6"/>
      <c r="O6" s="3"/>
      <c r="P6" s="3"/>
      <c r="Q6" s="3"/>
      <c r="R6"/>
      <c r="S6"/>
      <c r="T6" s="31" t="s">
        <v>29</v>
      </c>
      <c r="U6" s="32"/>
      <c r="AR6" s="18"/>
      <c r="AS6" s="18"/>
      <c r="AT6" s="18"/>
      <c r="AU6" s="18"/>
      <c r="AV6" s="18"/>
      <c r="AW6" s="18"/>
      <c r="AX6" s="18"/>
    </row>
    <row r="7" spans="2:57" s="4" customFormat="1" ht="393.6" customHeight="1" x14ac:dyDescent="0.3">
      <c r="B7" s="6" t="s">
        <v>30</v>
      </c>
      <c r="C7" s="14" t="s">
        <v>31</v>
      </c>
      <c r="D7" s="37" t="str">
        <f>_xlfn.CONCAT("- Entered by remote access via Team Viewer",CHAR(10),"- Signed in on communicate portal with the main 3shape account",CHAR(10),"- Went on connections&gt;add connection&gt;placed the lab's email",CHAR(10),"- They filtered by address and connection request was sent successfully",CHAR(10),"- Explained to them how to refresh the program so the changes will take affect after the lab approve the connection process",CHAR(10),"- No further assistance needed")</f>
        <v>- Entered by remote access via Team Viewer
- Signed in on communicate portal with the main 3shape account
- Went on connections&gt;add connection&gt;placed the lab's email
- They filtered by address and connection request was sent successfully
- Explained to them how to refresh the program so the changes will take affect after the lab approve the connection process
- No further assistance needed</v>
      </c>
      <c r="E7" s="37"/>
      <c r="F7" s="37" t="s">
        <v>32</v>
      </c>
      <c r="G7" s="37"/>
      <c r="H7" s="33" t="str">
        <f>_xlfn.CONCAT("Dear ", Templates!$B$6,CHAR(10), CHAR(10), "I hope this email finds you well.", CHAR(10), CHAR(10), "I am writing in reference to your recent call to our technical support center regarding the request to Setup your 3Shape Unite software.",CHAR(10),CHAR(10), "I’m pleased to inform you that we have addressed this request by assisting you creating a lab connection. ", " Now you are aware of the process to send a connection request to a lab and to refresh the platform to verify the approval from the lab.", CHAR(10), CHAR(10), $F$5, CHAR(10),CHAR(10),$AJ$4)</f>
        <v xml:space="preserve">Dear 
I hope this email finds you well.
I am writing in reference to your recent call to our technical support center regarding the request to Setup your 3Shape Unite software.
I’m pleased to inform you that we have addressed this request by assisting you creating a lab connection.  Now you are aware of the process to send a connection request to a lab and to refresh the platform to verify the approval from the lab.
Additionally,  to prevent slow performance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7" s="33"/>
      <c r="M7" s="4" t="s">
        <v>33</v>
      </c>
      <c r="N7"/>
      <c r="O7" s="79"/>
      <c r="P7" s="79"/>
      <c r="Q7" s="79"/>
      <c r="R7" s="53"/>
      <c r="S7" s="53"/>
      <c r="T7" s="31" t="str">
        <f>_xlfn.CONCAT("Dear ", Templates!$B$6,CHAR(10), CHAR(10), "I hope this email finds you well.", CHAR(10), CHAR(10), "I am writing to inform you about the recent call we had regarding the network restrictions issue.", " During our conversation, we disabled the country network restrictions, and I am pleased to report that the software is now working as expected. ",CHAR(10),CHAR(10), "We sent to you a PDF with the specifications and IP addresses, that must match in your network to avoid future issues.", CHAR(10),"If you have any further questions or need additional assistance, please do not hesitate to reach out.", CHAR(10), CHAR(10), TEU!$AJ$4)</f>
        <v xml:space="preserve">Dear 
I hope this email finds you well.
I am writing to inform you about the recent call we had regarding the network restrictions issue. During our conversation, we disabled the country network restrictions, and I am pleased to report that the software is now working as expected. 
We sent to you a PDF with the specifications and IP addresses, that must match in your network to avoid future issues.
If you have any further questions or need additional assistance, please do not hesitate to reach out.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7" s="32"/>
      <c r="AR7" s="18"/>
      <c r="AS7" s="18"/>
      <c r="AT7" s="18"/>
      <c r="AU7" s="18"/>
      <c r="AV7" s="18"/>
      <c r="AW7" s="18"/>
      <c r="AX7" s="18"/>
    </row>
    <row r="8" spans="2:57" ht="301.2" customHeight="1" x14ac:dyDescent="0.3">
      <c r="B8" s="4" t="s">
        <v>34</v>
      </c>
      <c r="C8" s="20" t="s">
        <v>35</v>
      </c>
      <c r="D8" s="29" t="s">
        <v>36</v>
      </c>
      <c r="E8" s="30"/>
      <c r="F8" s="29" t="s">
        <v>37</v>
      </c>
      <c r="G8" s="29"/>
      <c r="H8" s="29" t="str">
        <f>_xlfn.CONCAT("Dear ",Templates!$B$6,CHAR(10),CHAR(10),"I am writing from 3Shape Support regarding case ",CHAR(10),CHAR(10),"I am more than glad to inform you that your request has been resolved, we have successfully completed the update to Unite III, all data and services are now hosted on the cloud.",CHAR(10),CHAR(10), TEU!$F$8, CHAR(10),CHAR(10),"If you have any questions or need further assistance, please do not hesitate to reach out.",CHAR(10),CHAR(10),$AJ$4)</f>
        <v xml:space="preserve">Dear 
I am writing from 3Shape Support regarding case 
I am more than glad to inform you that your request has been resolved, we have successfully completed the update to Unite III, all data and services are now hosted on the cloud.
Additionally, remember some advantages of the cloud such as:
- You have the capability to perform offline scans for a period of 10 days.
- Avoid lossing information from database
- You can see the cases from your cellphone
- You have 1TB of space on the cloud
- You don't need physical dongle connected
If you have any questions or need further assistance, please do not hesitate to reach out.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8" s="29"/>
      <c r="M8" s="6" t="s">
        <v>38</v>
      </c>
      <c r="N8" s="13" t="s">
        <v>18</v>
      </c>
      <c r="O8" s="50" t="s">
        <v>39</v>
      </c>
      <c r="P8" s="50"/>
      <c r="Q8" s="50"/>
      <c r="R8" s="49" t="s">
        <v>24</v>
      </c>
      <c r="S8" s="49"/>
      <c r="T8" s="50" t="str">
        <f>_xlfn.CONCAT("Dear ", Templates!$B$6,CHAR(10), CHAR(10), "I hope this email finds you well.", CHAR(10), CHAR(10), "I am writing in reference to your recent call to our technical support center regarding the slow performance of your computer while using the 3Shape Unite software."," The issue was caused by the computer being continuously powered on for over 15 days, as well as the graphics card not being configured for maximum performance and some outdated drivers.",CHAR(10),CHAR(10), "I’m pleased to inform you that we have resolved this issue. Your computer has been rebooted, the graphics card settings have been optimized for maximum performance, and the drivers have been updated to ensure smooth operation."," Additionally, the system has been fully optimized to deliver the best performance for your 3Shape App.", CHAR(10), CHAR(10), $R$8, CHAR(10),CHAR(10),$AJ$4)</f>
        <v xml:space="preserve">Dear 
I hope this email finds you well.
I am writing in reference to your recent call to our technical support center regarding the slow performance of your computer while using the 3Shape Unite software. The issue was caused by the computer being continuously powered on for over 15 days, as well as the graphics card not being configured for maximum performance and some outdated drivers.
I’m pleased to inform you that we have resolved this issue. Your computer has been rebooted, the graphics card settings have been optimized for maximum performance, and the drivers have been updated to ensure smooth operation. Additionally, the system has been fully optimized to deliver the best performance for your 3Shape App.
Additionally,  to prevent similar issues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8" s="51"/>
      <c r="AR8" s="18"/>
      <c r="AS8" s="18"/>
      <c r="AT8" s="18"/>
      <c r="AU8" s="18"/>
      <c r="AV8" s="18"/>
      <c r="AW8" s="18"/>
      <c r="AX8" s="18"/>
    </row>
    <row r="9" spans="2:57" ht="319.2" customHeight="1" x14ac:dyDescent="0.3">
      <c r="B9" s="4" t="s">
        <v>40</v>
      </c>
      <c r="D9" s="31" t="s">
        <v>41</v>
      </c>
      <c r="E9" s="31"/>
      <c r="F9" s="31" t="s">
        <v>42</v>
      </c>
      <c r="G9" s="31"/>
      <c r="H9" s="29" t="str">
        <f>_xlfn.CONCAT("Dear ",Templates!$B$6,CHAR(10),CHAR(10),"I hope this email finds you well.", CHAR(10),CHAR(10),"I’d like to provide you with an update regarding your recent sign-in issues with Unite, which occurred because you don’t have access to the owner's email.", CHAR(10),CHAR(10),"As it is essential to complete the first sign-in using the company owner/admin email, we’ve provided you with two options:",CHAR(10),CHAR(10),"Access the owner’s email: Please check if someone within your organization has access to the owner's email. If you do, we can reset the password for this account and complete any necessary email changes to allow you to sign in with the owner’s account.",CHAR(10),CHAR(10),TEU!$F$9,CHAR(10),CHAR(10),"Your prompt attention to this matter is greatly appreciated. If you have any questions or require further clarification, please don’t hesitate to reach out.",CHAR(10),CHAR(10),TEU!$AJ$4)</f>
        <v xml:space="preserve">Dear 
I hope this email finds you well.
I’d like to provide you with an update regarding your recent sign-in issues with Unite, which occurred because you don’t have access to the owner's email.
As it is essential to complete the first sign-in using the company owner/admin email, we’ve provided you with two options:
Access the owner’s email: Please check if someone within your organization has access to the owner's email. If you do, we can reset the password for this account and complete any necessary email changes to allow you to sign in with the owner’s account.
Regain access via Written Approval Request: If you're unable to regain access to the owner’s email, please find the attached Written Approval Request Form for the proposed change of company email and the email associated with your Trios scanner. The form should be filled out electronically and signed by hand. You may also modify the reason provided, such as changing “I sold my practice,” to better fit your situation. for example, the owner no longer works in the company. 
Your prompt attention to this matter is greatly appreciated. If you have any questions or require further clarification, please don’t hesitate to reach out.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9" s="29"/>
      <c r="M9" s="12" t="s">
        <v>43</v>
      </c>
      <c r="N9" s="14" t="s">
        <v>44</v>
      </c>
      <c r="O9" s="33" t="str">
        <f>_xlfn.CONCAT($Z$2, CHAR(10),CHAR(10),"- Went on CMD and ran the command (sc delete ","MigrationService",") in order to delete the migration service ", CHAR(10),"- Went on path ","C:\Program Files\3Shape\Dental Desktop"," and deleted the ","MigrationToRaven"," file ", CHAR(10), "- Went on Regedit on path: Computer\HKEY_LOCAL_MACHINE\SOFTWARE\3Shape\DentalDesktop\MigrationToRavenStatus and the value in the registry was changed from 8 to 0 ", CHAR(10), "- PC rebooted ", CHAR(10), "- Went on path: C:\ProgramData\3Shape\DentalDesktop\ServerPackages and ran a repair installation of the ","DentalDesktopSetup-",Templates!$B$7,CHAR(10),"- Signed in again with the 3shape account &amp; password ", CHAR(10),"- Issue solved no further assistance needed" )</f>
        <v xml:space="preserve">
- Went on CMD and ran the command (sc delete MigrationService) in order to delete the migration service 
- Went on path C:\Program Files\3Shape\Dental Desktop and deleted the MigrationToRaven file 
- Went on Regedit on path: Computer\HKEY_LOCAL_MACHINE\SOFTWARE\3Shape\DentalDesktop\MigrationToRavenStatus and the value in the registry was changed from 8 to 0 
- PC rebooted 
- Went on path: C:\ProgramData\3Shape\DentalDesktop\ServerPackages and ran a repair installation of the DentalDesktopSetup-
- Signed in again with the 3shape account &amp; password 
- Issue solved no further assistance needed</v>
      </c>
      <c r="P9" s="33"/>
      <c r="Q9" s="33"/>
      <c r="R9" s="47" t="s">
        <v>45</v>
      </c>
      <c r="S9" s="47"/>
      <c r="T9" s="33" t="str">
        <f>_xlfn.CONCAT("Dear ", Templates!$B$6,CHAR(10), CHAR(10), "I hope this email finds you well.", CHAR(10), CHAR(10), "I am writing in reference to your recent call to our technical support center regarding the Company ID Token error in your 3Shape Unite software.","The issue was caused by an internal bug in the system, which has been reported to our backend team. They are working on fixing it as soon as possible.",CHAR(10),CHAR(10), "I’m pleased to inform you that we have resolved this issue by performing an internal system reset of the server settings. Your computer has also been rebooted to ensure these settings are correctly updated. ","With this, you should no longer experience any connection issues.", CHAR(10), CHAR(10), $R$9, CHAR(10),CHAR(10),$AJ$4)</f>
        <v xml:space="preserve">Dear 
I hope this email finds you well.
I am writing in reference to your recent call to our technical support center regarding the Company ID Token error in your 3Shape Unite software.The issue was caused by an internal bug in the system, which has been reported to our backend team. They are working on fixing it as soon as possible.
I’m pleased to inform you that we have resolved this issue by performing an internal system reset of the server settings. Your computer has also been rebooted to ensure these settings are correctly updated. With this, you should no longer experience any connection issues.
Additionally,  to prevent performance issues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9" s="38"/>
      <c r="AR9" s="18"/>
      <c r="AS9" s="18"/>
      <c r="AT9" s="18"/>
      <c r="AU9" s="18"/>
      <c r="AV9" s="18"/>
      <c r="AW9" s="18"/>
      <c r="AX9" s="18"/>
    </row>
    <row r="10" spans="2:57" ht="216" customHeight="1" x14ac:dyDescent="0.3">
      <c r="B10" s="4" t="s">
        <v>46</v>
      </c>
      <c r="D10" s="31" t="s">
        <v>47</v>
      </c>
      <c r="E10" s="31"/>
      <c r="F10" s="46" t="s">
        <v>48</v>
      </c>
      <c r="G10" s="46"/>
      <c r="H10" s="31" t="str">
        <f>_xlfn.CONCAT("Dear ",Templates!$B$6,CHAR(10),CHAR(10),"I hope this email finds you well.",CHAR(10),CHAR(10),"I am writing in reference to your recent call to our technical support center regarding the request to Setup your 3Shape account user on the Unite software. ",CHAR(10),CHAR(10),"I’m pleased to inform you that we have addressed this request by assisting whit approval the new users.  Now you are aware of the process to aprove a new dentist on the portal and the software.",CHAR(10),CHAR(10),TEU!$F$10,TEU!$AJ$4)</f>
        <v xml:space="preserve">Dear 
I hope this email finds you well.
I am writing in reference to your recent call to our technical support center regarding the request to Setup your 3Shape account user on the Unite software. 
I’m pleased to inform you that we have addressed this request by assisting whit approval the new users.  Now you are aware of the process to aprove a new dentist on the portal and the software.
  Additionally, to prevent slow performance in the future, we recommend shutting down your computer every night and ensuring it remains connected during the scanning processThank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10" s="31"/>
      <c r="M10" s="12" t="s">
        <v>49</v>
      </c>
      <c r="N10" s="14" t="s">
        <v>50</v>
      </c>
      <c r="O10" s="33" t="str">
        <f>_xlfn.CONCAT($Z$2, CHAR(10),CHAR(10),"- Entered by remote access via Team Viewer",CHAR(10),"- Issue reproduced ", CHAR(10),"- Network test performed",CHAR(10),"- Upload 6.97 MBps",CHAR(10),"- Download 23.89 MBps ", CHAR(10),"- Checked firewall rules and enable all the 3DD related ",CHAR(10),"- Created new inbound and outbound port rules (TCP and UDP)",CHAR(10),"- Admin permission granted to Unite", CHAR(10),"- Main 3Shape services restarted",CHAR(10),"- Unite opened again and now the cloud is working fine",CHAR(10),"- Tested by sending a case (Fine)",CHAR(10),"- No further assistance needed")</f>
        <v xml:space="preserve">
- Entered by remote access via Team Viewer
- Issue reproduced 
- Network test performed
- Upload 6.97 MBps
- Download 23.89 MBps 
- Checked firewall rules and enable all the 3DD related 
- Created new inbound and outbound port rules (TCP and UDP)
- Admin permission granted to Unite
- Main 3Shape services restarted
- Unite opened again and now the cloud is working fine
- Tested by sending a case (Fine)
- No further assistance needed</v>
      </c>
      <c r="P10" s="33"/>
      <c r="Q10" s="33"/>
      <c r="R10" s="47" t="s">
        <v>51</v>
      </c>
      <c r="S10" s="47"/>
      <c r="T10" s="33" t="str">
        <f>_xlfn.CONCAT("Dear ", Templates!$B$6,CHAR(10), CHAR(10), "I hope this email finds you well.", CHAR(10), CHAR(10), "I am writing in reference to your recent call to our technical support center regarding the error 'Your case could not be sent', when attempting to send to a laboratory", CHAR(10), CHAR(10),"Bringing to your attention, it ocurred due to a lost of the connection while completing the synchronization with the cloud.",CHAR(10),CHAR(10), "I'm pleased to inform you that we have addressed this problem by re-establishing the Cloud Storage into your program.",CHAR(10),CHAR(10),$R$10, CHAR(10),CHAR(10),$AJ$4)</f>
        <v xml:space="preserve">Dear 
I hope this email finds you well.
I am writing in reference to your recent call to our technical support center regarding the error 'Your case could not be sent', when attempting to send to a laboratory
Bringing to your attention, it ocurred due to a lost of the connection while completing the synchronization with the cloud.
I'm pleased to inform you that we have addressed this problem by re-establishing the Cloud Storage into your program.
Additionally, to prevent similar issues in the future, we recommend shutting down your computer every night and ensuring it stays connected to the internet via Ethernet.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0" s="38"/>
      <c r="AR10" s="18"/>
      <c r="AS10" s="18"/>
      <c r="AT10" s="18"/>
      <c r="AU10" s="18"/>
      <c r="AV10" s="18"/>
      <c r="AW10" s="18"/>
      <c r="AX10" s="18"/>
    </row>
    <row r="11" spans="2:57" ht="286.2" customHeight="1" x14ac:dyDescent="0.3">
      <c r="B11" s="4" t="s">
        <v>52</v>
      </c>
      <c r="C11" s="4" t="s">
        <v>53</v>
      </c>
      <c r="D11" s="29" t="s">
        <v>54</v>
      </c>
      <c r="E11" s="29"/>
      <c r="F11" s="46"/>
      <c r="G11" s="46"/>
      <c r="H11" s="29" t="s">
        <v>55</v>
      </c>
      <c r="I11" s="30"/>
      <c r="M11" s="6" t="s">
        <v>1</v>
      </c>
      <c r="N11" s="14" t="s">
        <v>56</v>
      </c>
      <c r="O11" s="33" t="str">
        <f>_xlfn.CONCAT($Z$2, CHAR(10),CHAR(10),"- Entered Support mode",CHAR(10),"- Issue was reproduced ", CHAR(10),"- ID Case found",CHAR(10),"- Asked to customer to set the pre-preparation case content and options", CHAR(10),"- Streams reimported to the case, from the case PATH",CHAR(10),"Loaded Lower Jaw, Upper Jaw and Bite (1 &amp; 2)", CHAR(10), "- Left case ready to be sent and dentist notified to add Annotations and ready to be sent")</f>
        <v xml:space="preserve">
- Entered Support mode
- Issue was reproduced 
- ID Case found
- Asked to customer to set the pre-preparation case content and options
- Streams reimported to the case, from the case PATH
Loaded Lower Jaw, Upper Jaw and Bite (1 &amp; 2)
- Left case ready to be sent and dentist notified to add Annotations and ready to be sent</v>
      </c>
      <c r="P11" s="33"/>
      <c r="Q11" s="33"/>
      <c r="R11" s="37" t="s">
        <v>57</v>
      </c>
      <c r="S11" s="37"/>
      <c r="T11" s="33" t="str">
        <f>_xlfn.CONCAT("Dear ", Templates!$B$6,CHAR(10), CHAR(10), "I hope this email finds you well.", CHAR(10), CHAR(10), "I am writing in reference to your recent call to our technical support center regarding the errors pop-up while you triying to retrieve a case", CHAR(10), CHAR(10),"Bringing to your attention, it ocurred due to a case corruption which main reason could be due to poor navigation through the scanning process.",CHAR(10),CHAR(10), "I'm pleased to inform you that we have addressed this problem by reimporting the streams of the case, in a new one.",CHAR(10), CHAR(10), $R$11, CHAR(10),CHAR(10),$AJ$4)</f>
        <v xml:space="preserve">Dear 
I hope this email finds you well.
I am writing in reference to your recent call to our technical support center regarding the errors pop-up while you triying to retrieve a case
Bringing to your attention, it ocurred due to a case corruption which main reason could be due to poor navigation through the scanning process.
I'm pleased to inform you that we have addressed this problem by reimporting the streams of the case, in a new one.
Also, as a recommendation to prevent future files from corruption during the scanning process of a specific case, please avoid excessive back-and-forth navigation. Such actions can increase the risk of data corruption.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1" s="38"/>
      <c r="AR11" s="18"/>
      <c r="AS11" s="18"/>
      <c r="AT11" s="18"/>
      <c r="AU11" s="18"/>
      <c r="AV11" s="18"/>
      <c r="AW11" s="18"/>
      <c r="AX11" s="18"/>
    </row>
    <row r="12" spans="2:57" ht="129.6" x14ac:dyDescent="0.3">
      <c r="B12" s="4" t="s">
        <v>58</v>
      </c>
      <c r="C12" s="4" t="s">
        <v>59</v>
      </c>
      <c r="D12" s="29" t="s">
        <v>60</v>
      </c>
      <c r="E12" s="29"/>
      <c r="F12" s="46" t="s">
        <v>61</v>
      </c>
      <c r="G12" s="46"/>
      <c r="H12" s="31" t="str">
        <f>_xlfn.CONCAT("Dear ",Templates!$B$6,CHAR(10),CHAR(10),"I hope this email finds you well.",CHAR(10),CHAR(10),"I am writing in reference to your recent call to our technical support center regarding the inquiry you had about how to export a patient's case as STL",CHAR(10),CHAR(10), "I am please to inform you that we have adressed this request by Go to cases &gt; select any order you would like to export in DCM/STL/PLY format &gt; open the three-dot menu &gt; select Export &gt; then Scan. After that, the case was successfully saved", " on the location you selected",CHAR(10),CHAR(10),TEU!$F$12,TEU!$AJ$4)</f>
        <v xml:space="preserve">Dear 
I hope this email finds you well.
I am writing in reference to your recent call to our technical support center regarding the inquiry you had about how to export a patient's case as STL
I am please to inform you that we have adressed this request by Go to cases &gt; select any order you would like to export in DCM/STL/PLY format &gt; open the three-dot menu &gt; select Export &gt; then Scan. After that, the case was successfully saved on the location you selected
Please rememeber to always post-process the case in order to be able to export it.Thank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I12" s="31"/>
      <c r="M12" s="6" t="s">
        <v>62</v>
      </c>
      <c r="N12" s="14" t="s">
        <v>63</v>
      </c>
      <c r="O12" s="33" t="s">
        <v>64</v>
      </c>
      <c r="P12" s="33"/>
      <c r="Q12" s="33"/>
      <c r="R12" s="37" t="s">
        <v>65</v>
      </c>
      <c r="S12" s="37"/>
      <c r="T12" s="33" t="str">
        <f>_xlfn.CONCAT("Dear ", Templates!$B$6,CHAR(10), CHAR(10), "I hope this email finds you well.", CHAR(10), CHAR(10), "I am writing in reference to your recent call to our technical support center regarding the error messages every time the calibration kit is used, while attempting the color calibration.", CHAR(10), CHAR(10),"Bringing to your attention, it occurred due to the calibration target has expired.",CHAR(10),CHAR(10),$R$12, "I'm pleased to inform you that we have addressed this problem by a hardware test attempt and we confirm the correct functionality of the scanner.",CHAR(10), CHAR(10),$AJ$4)</f>
        <v xml:space="preserve">Dear 
I hope this email finds you well.
I am writing in reference to your recent call to our technical support center regarding the error messages every time the calibration kit is used, while attempting the color calibration.
Bringing to your attention, it occurred due to the calibration target has expired.
We recommend you get a new Calibration Target on the 3shape store in the following link:
https://webshop.3shape.com/es/accessories
Meanwhile you can use the black cylinder instead to complete the calibration, while you wait the new one to arrive.I'm pleased to inform you that we have addressed this problem by a hardware test attempt and we confirm the correct functionality of the scanner.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2" s="38"/>
      <c r="AR12" s="18"/>
      <c r="AS12" s="18"/>
      <c r="AT12" s="18"/>
      <c r="AU12" s="18"/>
      <c r="AV12" s="18"/>
      <c r="AW12" s="18"/>
      <c r="AX12" s="18"/>
    </row>
    <row r="13" spans="2:57" ht="270" customHeight="1" x14ac:dyDescent="0.3">
      <c r="H13" s="46"/>
      <c r="I13" s="46"/>
      <c r="M13" s="6" t="s">
        <v>66</v>
      </c>
      <c r="N13" s="15" t="s">
        <v>67</v>
      </c>
      <c r="O13" s="44" t="s">
        <v>68</v>
      </c>
      <c r="P13" s="44"/>
      <c r="Q13" s="44"/>
      <c r="R13" s="43"/>
      <c r="S13" s="43"/>
      <c r="T13" s="44" t="str">
        <f>_xlfn.CONCAT("Dear ", Templates!$B$6,CHAR(10), CHAR(10), "I hope this email finds you well.", CHAR(10), CHAR(10), "I am writing in reference to your recent call to our technical support center regarding the Server Issue Ocurred in your 3Shape Unite software.","The issue was caused by an internal bug in the system, which has been reported to our backend team. They are working on fixing it as soon as possible.",CHAR(10),CHAR(10), "I’m pleased to inform you that we have resolved this issue by performing an internal system reset of the server settings. Your computer has also been rebooted to ensure these settings are correctly updated. ", CHAR(10), CHAR(10),, CHAR(10),CHAR(10),TEU!$AJ$4)</f>
        <v xml:space="preserve">Dear 
I hope this email finds you well.
I am writing in reference to your recent call to our technical support center regarding the Server Issue Ocurred in your 3Shape Unite software.The issue was caused by an internal bug in the system, which has been reported to our backend team. They are working on fixing it as soon as possible.
I’m pleased to inform you that we have resolved this issue by performing an internal system reset of the server settings. Your computer has also been rebooted to ensure these settings are correctly updated.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3" s="45"/>
    </row>
    <row r="14" spans="2:57" ht="278.25" customHeight="1" x14ac:dyDescent="0.3">
      <c r="M14" s="6" t="s">
        <v>69</v>
      </c>
      <c r="N14" s="14" t="s">
        <v>70</v>
      </c>
      <c r="O14" s="37" t="s">
        <v>71</v>
      </c>
      <c r="P14" s="37"/>
      <c r="Q14" s="37"/>
      <c r="R14" s="37"/>
      <c r="S14" s="37"/>
      <c r="T14" s="37" t="str">
        <f>_xlfn.CONCAT("Dear ", Templates!$B$6,CHAR(10), CHAR(10), "I hope this email finds you well.", CHAR(10), CHAR(10), "I am writing in reference to your recent call to our technical support center regarding the black lines on your scanner, and freezing problem while scanning. The issue was caused by a firewall setting missing in the system. ",CHAR(10),CHAR(10), "I’m pleased to inform you that we have resolved this issue by performing the correct configuration of those settings. ", CHAR(10), CHAR(10), "During your call with 3Shape Technical Support, we performed the following steps: ", CHAR(10), CHAR(10), "1. Checked the TP-Link connection: Ensuring that the TP-Link device was directly connected to the computer. We avoided using multiple ports, extensions, or different converters simultaneously, as this could affect the connection.", CHAR(10), "2. Verified security settings: Confirmed that there were no restrictions from antivirus software or firewalls that could affect the connection.", CHAR(10), "3. Checked connection speed: Ensured that the scanner connected at a minimum speed of 45 Mbps for Trios 5.", CHAR(10), "4. Evaluated distance: Ensured the scanner was within 5 meters of the computer to maintain a stable connection.", CHAR(10), "5. Checked for interference: Ensured that walls, doors, or other objects between the scanner and the computer did not cause signal interference.", CHAR(10), "6. Tested with another scanner", CHAR(10), "7. Tried a different computer", CHAR(10), "8. Tried with a different network connection", CHAR(10), "9. Used different USB ports: Connected the TP-Link to various ports and tested the connection.", CHAR(10), "10. Ran a hardware test: Performed a hardware diagnostic test using the guide: Hardware Test for Trios 5. [INTERNAL] 3SHWTCC - TRIOS 3, TRIOS Core, and TRIOS 4 tests - 3Shape.", CHAR(10), "11. Checked computer specifications: Verified that the computer met the minimum system requirements.", CHAR(10), "12. Measured image capture rate: Scanned a specific point on a model for one minute and checked how many images were captured.", CHAR(10), "13. Used a TP-Link extension: If the scanner was near the 5-meter limit, tried using a TP-Link extension and directed it towards the scanner.", CHAR(10), CHAR(10), "If the issue could not be resolved or the cause remained unidentified, reach us with your case number.", CHAR(10), CHAR(10), TEU!$AJ$4)</f>
        <v xml:space="preserve">Dear 
I hope this email finds you well.
I am writing in reference to your recent call to our technical support center regarding the black lines on your scanner, and freezing problem while scanning. The issue was caused by a firewall setting missing in the system. 
I’m pleased to inform you that we have resolved this issue by performing the correct configuration of those settings. 
During your call with 3Shape Technical Support, we performed the following steps: 
1. Checked the TP-Link connection: Ensuring that the TP-Link device was directly connected to the computer. We avoided using multiple ports, extensions, or different converters simultaneously, as this could affect the connection.
2. Verified security settings: Confirmed that there were no restrictions from antivirus software or firewalls that could affect the connection.
3. Checked connection speed: Ensured that the scanner connected at a minimum speed of 45 Mbps for Trios 5.
4. Evaluated distance: Ensured the scanner was within 5 meters of the computer to maintain a stable connection.
5. Checked for interference: Ensured that walls, doors, or other objects between the scanner and the computer did not cause signal interference.
6. Tested with another scanner
7. Tried a different computer
8. Tried with a different network connection
9. Used different USB ports: Connected the TP-Link to various ports and tested the connection.
10. Ran a hardware test: Performed a hardware diagnostic test using the guide: Hardware Test for Trios 5. [INTERNAL] 3SHWTCC - TRIOS 3, TRIOS Core, and TRIOS 4 tests - 3Shape.
11. Checked computer specifications: Verified that the computer met the minimum system requirements.
12. Measured image capture rate: Scanned a specific point on a model for one minute and checked how many images were captured.
13. Used a TP-Link extension: If the scanner was near the 5-meter limit, tried using a TP-Link extension and directed it towards the scanner.
If the issue could not be resolved or the cause remained unidentified, reach us with your case number.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4" s="73"/>
    </row>
    <row r="15" spans="2:57" ht="244.5" customHeight="1" x14ac:dyDescent="0.3">
      <c r="M15" s="6" t="s">
        <v>72</v>
      </c>
      <c r="N15" s="14"/>
      <c r="O15" s="33" t="s">
        <v>73</v>
      </c>
      <c r="P15" s="33"/>
      <c r="Q15" s="33"/>
      <c r="R15" s="37"/>
      <c r="S15" s="37"/>
      <c r="T15" s="41" t="str">
        <f>_xlfn.CONCAT("Dear ", Templates!$B$6,CHAR(10), CHAR(10), "I try to contact with you via phone call to this number: ",Templates!$B$3, " but no one pick up the call, I want to confirm with you about a suitable time frame when I can call you to take a look for the issue of ---REPORT---.", CHAR(10), CHAR(10), "Please let me know your availability so we can schedule a convenient time for the call.",CHAR(10),CHAR(10),CHAR(10),"Best regards, ")</f>
        <v xml:space="preserve">Dear 
I try to contact with you via phone call to this number:  but no one pick up the call, I want to confirm with you about a suitable time frame when I can call you to take a look for the issue of ---REPORT---.
Please let me know your availability so we can schedule a convenient time for the call.
Best regards, </v>
      </c>
      <c r="U15" s="42"/>
    </row>
    <row r="16" spans="2:57" s="1" customFormat="1" ht="289.95" customHeight="1" x14ac:dyDescent="0.3">
      <c r="M16" s="6" t="s">
        <v>74</v>
      </c>
      <c r="N16" s="14" t="s">
        <v>75</v>
      </c>
      <c r="O16" s="33" t="str">
        <f>_xlfn.CONCAT($Z$2, CHAR(10),CHAR(10),"-Asked to customer if there was phisicall damage , stays that no",CHAR(10),"- Entered Support mode",CHAR(10),"- Issue was reproduced ", CHAR(10),"- Devie Manager opened to see if Tp link is connected",CHAR(10),"- Bluethoot devices opened to check bluethoot connection", CHAR(10),"- Checked if wireless scanning enabled ",CHAR(10),"- Checked led indicator", CHAR(10), "- Checked 3Shape Wireless Service page ", CHAR(10), "- Checked 3Shape Wireless Service page , Troubleshooted", CHAR(10), "- TP link Driver updated")</f>
        <v xml:space="preserve">
-Asked to customer if there was phisicall damage , stays that no
- Entered Support mode
- Issue was reproduced 
- Devie Manager opened to see if Tp link is connected
- Bluethoot devices opened to check bluethoot connection
- Checked if wireless scanning enabled 
- Checked led indicator
- Checked 3Shape Wireless Service page 
- Checked 3Shape Wireless Service page , Troubleshooted
- TP link Driver updated</v>
      </c>
      <c r="P16" s="33"/>
      <c r="Q16" s="33"/>
      <c r="R16" s="37"/>
      <c r="S16" s="37"/>
      <c r="T16" s="33" t="str">
        <f>_xlfn.CONCAT("Dear ", Templates!$B$6,CHAR(10), CHAR(10), "I hope this email finds you well.", CHAR(10), CHAR(10), "I am writing to inform you that I have made two attempts to contact you via phone in regard to your technical support request, but unfortunately,"," I was unable to reach you.
At your earliest convenience, could you please suggest a suitable time for us to discuss the matter, or"," indicate if there is an alternative method of communication you would prefer? Your prompt response will enable us to address your issue more effectively.
Thank you for your attention to this matter.
Yours sincerely,")</f>
        <v>Dear 
I hope this email finds you well.
I am writing to inform you that I have made two attempts to contact you via phone in regard to your technical support request, but unfortunately, I was unable to reach you.
At your earliest convenience, could you please suggest a suitable time for us to discuss the matter, or indicate if there is an alternative method of communication you would prefer? Your prompt response will enable us to address your issue more effectively.
Thank you for your attention to this matter.
Yours sincerely,</v>
      </c>
      <c r="U16" s="38"/>
    </row>
    <row r="17" spans="1:21" ht="215.25" customHeight="1" x14ac:dyDescent="0.3">
      <c r="M17" s="8" t="s">
        <v>13</v>
      </c>
      <c r="N17" s="14" t="s">
        <v>76</v>
      </c>
      <c r="O17" s="52" t="str">
        <f>_xlfn.CONCAT($Z$2, CHAR(10),CHAR(10),"- Went to the Event Log and found the case mentioned by the customer",CHAR(10),"- Located the case id in the Event Logs",CHAR(10),"- Created a new case with the instructions set by the customer",CHAR(10),"- Reimported the streams.",CHAR(10),"- Case successfully post-processed and sent to Lab",CHAR(10),"- Issue resolved")</f>
        <v xml:space="preserve">
- Went to the Event Log and found the case mentioned by the customer
- Located the case id in the Event Logs
- Created a new case with the instructions set by the customer
- Reimported the streams.
- Case successfully post-processed and sent to Lab
- Issue resolved</v>
      </c>
      <c r="P17" s="52"/>
      <c r="Q17" s="52"/>
      <c r="R17" s="37" t="s">
        <v>57</v>
      </c>
      <c r="S17" s="37"/>
      <c r="T17" s="33" t="str">
        <f>_xlfn.CONCAT("Dear ", Templates!$B$6,CHAR(10), CHAR(10), "I hope this email finds you well.", CHAR(10), CHAR(10), "I am writing in reference to your recent call to our technical support center regarding a complaint of an existing case", CHAR(10), CHAR(10), "We have addressed this issue by reimporting the streams of the case, in a new one. Other option is to export the .STL or .DCM extensions documents, so you can use them in another case, be aware these documents will not include the streams of the case",CHAR(10), CHAR(10),$R$17,CHAR(10), CHAR(10),$AJ$4)</f>
        <v xml:space="preserve">Dear 
I hope this email finds you well.
I am writing in reference to your recent call to our technical support center regarding a complaint of an existing case
We have addressed this issue by reimporting the streams of the case, in a new one. Other option is to export the .STL or .DCM extensions documents, so you can use them in another case, be aware these documents will not include the streams of the case
Also, as a recommendation to prevent future files from corruption during the scanning process of a specific case, please avoid excessive back-and-forth navigation. Such actions can increase the risk of data corruption.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7" s="38"/>
    </row>
    <row r="18" spans="1:21" ht="141.75" customHeight="1" x14ac:dyDescent="0.3">
      <c r="M18" s="16" t="s">
        <v>77</v>
      </c>
      <c r="N18" s="17" t="s">
        <v>63</v>
      </c>
      <c r="O18" s="34" t="str">
        <f>_xlfn.CONCAT("- Start remote desktop",CHAR(10),"- Ask the customer to reproduce the issue ",CHAR(10),"- The software send the Error Code X",CHAR(10),"- Color calibration target got checked and it has expired ",CHAR(10), "- Accesed into the ScanSuite path and verified scan pictures", CHAR(10),"- Hardware Test performed for discard Trios issues",CHAR(10),"- Explained to customer the bad result of calibration hardware test",CHAR(10),"- Asked to customer to get a new one in the shop")</f>
        <v>- Start remote desktop
- Ask the customer to reproduce the issue 
- The software send the Error Code X
- Color calibration target got checked and it has expired 
- Accesed into the ScanSuite path and verified scan pictures
- Hardware Test performed for discard Trios issues
- Explained to customer the bad result of calibration hardware test
- Asked to customer to get a new one in the shop</v>
      </c>
      <c r="P18" s="88"/>
      <c r="Q18" s="88"/>
      <c r="R18" s="39" t="s">
        <v>78</v>
      </c>
      <c r="S18" s="39"/>
      <c r="T18" s="36" t="str">
        <f>_xlfn.CONCAT("Dear ", Templates!$B$6,CHAR(10), CHAR(10), "I hope this email finds you well.", CHAR(10), CHAR(10), "I am writing in reference to your recent call to our technical support center regarding the error messages every time the calibration kit is used, while attempting the color calibration. ", CHAR(10), CHAR(10), "Bringing to your attention, it occurred due to ",Templates!$B$20,"I'm pleased to inform you that we have addressed this problem by ",Templates!$B$22,CHAR(10), CHAR(10),$R$18,CHAR(10), CHAR(10),$AJ$4)</f>
        <v xml:space="preserve">Dear 
I hope this email finds you well.
I am writing in reference to your recent call to our technical support center regarding the error messages every time the calibration kit is used, while attempting the color calibration. 
Bringing to your attention, it occurred due to I'm pleased to inform you that we have addressed this problem by 
Also as a recomendation to prevent this error code we recomend to clean the front glass and the mirror with a soft cloth or blowing some air.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8" s="40"/>
    </row>
    <row r="19" spans="1:21" ht="223.95" customHeight="1" x14ac:dyDescent="0.3">
      <c r="M19" s="6" t="s">
        <v>79</v>
      </c>
      <c r="N19" s="14" t="s">
        <v>80</v>
      </c>
      <c r="O19" s="33" t="s">
        <v>68</v>
      </c>
      <c r="P19" s="33"/>
      <c r="Q19" s="33"/>
      <c r="R19" s="37"/>
      <c r="S19" s="37"/>
      <c r="T19" s="33" t="str">
        <f>_xlfn.CONCAT("Dear ", Templates!$B$6,CHAR(10), CHAR(10), "I hope this email finds you well.", CHAR(10), CHAR(10), "I am writing in reference to your recent call to our technical support center regarding the Server Issue Ocurred in your 3Shape Unite software.","The issue was caused by an internal bug in the system, which has been reported to our backend team. They are working on fixing it as soon as possible.",CHAR(10),CHAR(10), "I’m pleased to inform you that we have resolved this issue by performing an internal system reset of the server settings. Your computer has also been rebooted to ensure these settings are correctly updated. ","With this, you should no longer experience any connection issues.", CHAR(10), CHAR(10),TEU!$R$13, CHAR(10),CHAR(10),TEU!$AJ$4)</f>
        <v xml:space="preserve">Dear 
I hope this email finds you well.
I am writing in reference to your recent call to our technical support center regarding the Server Issue Ocurred in your 3Shape Unite software.The issue was caused by an internal bug in the system, which has been reported to our backend team. They are working on fixing it as soon as possible.
I’m pleased to inform you that we have resolved this issue by performing an internal system reset of the server settings. Your computer has also been rebooted to ensure these settings are correctly updated. With this, you should no longer experience any connection issues.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19" s="38"/>
    </row>
    <row r="20" spans="1:21" ht="189.75" customHeight="1" x14ac:dyDescent="0.3">
      <c r="M20" s="16" t="s">
        <v>81</v>
      </c>
      <c r="O20" s="34" t="str">
        <f>_xlfn.CONCAT("- Request the TV id and PW",CHAR(10),"- I get the EM ''The 3shape Unite server was not found'' in the Client PC",CHAR(10),"- I check that the Client PC was trying to connect to same computer as a server.",CHAR(10),"- I request the TV id and PW for the Server Computer ",CHAR(10),"- Connect the client PC to the correct server PC",CHAR(10),"- I made the update to the SW the Client PC update it to unite lll was in unite ll",CHAR(10),"- Issues resolved")</f>
        <v>- Request the TV id and PW
- I get the EM ''The 3shape Unite server was not found'' in the Client PC
- I check that the Client PC was trying to connect to same computer as a server.
- I request the TV id and PW for the Server Computer 
- Connect the client PC to the correct server PC
- I made the update to the SW the Client PC update it to unite lll was in unite ll
- Issues resolved</v>
      </c>
      <c r="P20" s="34"/>
      <c r="Q20" s="34"/>
      <c r="R20" s="35"/>
      <c r="S20" s="35"/>
      <c r="T20" s="36" t="str">
        <f>_xlfn.CONCAT("Dear ",Templates!$B$6,CHAR(10),CHAR(10),"I hope this email finds you well.",CHAR(10),CHAR(10),"I am writing in reference to your recent call to our technical support center regarding an miss connection with the server.",CHAR(10),CHAR(10),"The issue you encountered occurred due to a misconnection between the client computer and the server, as well as a discrepancy in the software versions.",CHAR(10),CHAR(10),"We have now resolved the issue by ensuring that the client computer is properly connected to the correct server and updating the software to the correct version.",CHAR(10),CHAR(10),"For future reference, please ensure that both the server and the computer are on the same Ethernet network and that they are running the same software version.",CHAR(10),CHAR(10),$AJ$4)</f>
        <v xml:space="preserve">Dear 
I hope this email finds you well.
I am writing in reference to your recent call to our technical support center regarding an miss connection with the server.
The issue you encountered occurred due to a misconnection between the client computer and the server, as well as a discrepancy in the software versions.
We have now resolved the issue by ensuring that the client computer is properly connected to the correct server and updating the software to the correct version.
For future reference, please ensure that both the server and the computer are on the same Ethernet network and that they are running the same software version.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0" s="36"/>
    </row>
    <row r="21" spans="1:21" ht="298.2" customHeight="1" x14ac:dyDescent="0.3">
      <c r="M21" s="21" t="s">
        <v>82</v>
      </c>
      <c r="N21" s="20" t="s">
        <v>83</v>
      </c>
      <c r="O21" s="87" t="s">
        <v>84</v>
      </c>
      <c r="P21" s="87"/>
      <c r="Q21" s="87"/>
      <c r="R21" s="85"/>
      <c r="S21" s="85"/>
      <c r="T21" s="34" t="str">
        <f>_xlfn.CONCAT("Dear ",Templates!$B$6,CHAR(10),CHAR(10),"I hope this email finds you well.",CHAR(10),CHAR(10),"I am writing in reference to your recent call to our technical support center regarding send step missing, unable to send cases.",CHAR(10),CHAR(10),"The issue you encountered occurred due to some modules appeared as incompatible in Unite software, causing the send step missing.",CHAR(10),CHAR(10),"We have now resolved the issue by running a repair installation, after that you were able to see the send step and send the case successfully..",CHAR(10),CHAR(10),"Please make sure to adjust all the proper instructions in the Case Setup step, before scanning and post-processing, to avoid corrupting the case.",CHAR(10),CHAR(10),$AJ$4)</f>
        <v xml:space="preserve">Dear 
I hope this email finds you well.
I am writing in reference to your recent call to our technical support center regarding send step missing, unable to send cases.
The issue you encountered occurred due to some modules appeared as incompatible in Unite software, causing the send step missing.
We have now resolved the issue by running a repair installation, after that you were able to see the send step and send the case successfully..
Please make sure to adjust all the proper instructions in the Case Setup step, before scanning and post-processing, to avoid corrupting the case.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1" s="34"/>
    </row>
    <row r="22" spans="1:21" ht="292.2" customHeight="1" x14ac:dyDescent="0.3">
      <c r="M22" s="16" t="s">
        <v>85</v>
      </c>
      <c r="N22" s="22" t="s">
        <v>86</v>
      </c>
      <c r="O22" s="49" t="s">
        <v>87</v>
      </c>
      <c r="P22" s="49"/>
      <c r="Q22" s="49"/>
      <c r="R22" s="49" t="s">
        <v>88</v>
      </c>
      <c r="S22" s="49"/>
      <c r="T22" s="49" t="str">
        <f>_xlfn.CONCAT("Dear ", Templates!$B$6,CHAR(10), CHAR(10), "I hope this email finds you well.", CHAR(10), CHAR(10), $R$22,"",CHAR(10),CHAR(10), "I’m pleased to inform you that during the remote session we decided to perform the workaround and leave the AI disabled while our team fixes the BUG described above, remember that you will receive updates as soon as we have them."," In the future, we recommend shutting down your computer every night and ensuring it remains connected during the scanning process", CHAR(10), CHAR(10),$AJ$4)</f>
        <v xml:space="preserve">Dear 
I hope this email finds you well.
I am writing in reference to your recent call to our technical support center regarding the slow performance of your Move+ device during the scan process. The issue was caused due a bug on Unite when activating the AI Scan using a Trios 3 or Trios 5, your computer has been rebooted, the graphics card settings have been optimized for maximum performance, and the drivers have been updated to ensure smooth operation, additionally, the system has been fully optimized to deliver the best performance for your 3Shape App.
A bug is an unexpected problem with software or hardware. Typical problems are often the result of external interference with the program's performance that was not anticipated by the developer. Minor bugs can cause small problems like frozen screens or unexplained error messages that do not significantly affect usage.
I’m pleased to inform you that during the remote session we decided to perform the workaround and leave the AI disabled while our team fixes the BUG described above, remember that you will receive updates as soon as we have them. In the future, we recommend shutting down your computer every night and ensuring it remains connected during the scanning process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2" s="84"/>
    </row>
    <row r="23" spans="1:21" ht="292.2" customHeight="1" x14ac:dyDescent="0.3">
      <c r="M23" s="23" t="s">
        <v>89</v>
      </c>
      <c r="N23" s="23" t="s">
        <v>90</v>
      </c>
      <c r="O23" s="34" t="s">
        <v>91</v>
      </c>
      <c r="P23" s="34"/>
      <c r="Q23" s="34"/>
      <c r="R23" s="35"/>
      <c r="S23" s="35"/>
      <c r="T23" s="36" t="str">
        <f>_xlfn.CONCAT("Dear ",Templates!$B$6,CHAR(10),CHAR(10),"I hope this email finds you well.",CHAR(10),CHAR(10),"I am writing in reference to your recent call to our technical support center regarding the EM: Configuration Download not working",CHAR(10),CHAR(10),"Bringing to your attention, it occurred due a conflict with the modules and Unite so the Software try to download it again.",CHAR(10),CHAR(10),"I'm pleased to inform you that we have addressed this problem by reset the configuration download.",CHAR(10),CHAR(10),$AJ$4)</f>
        <v xml:space="preserve">Dear 
I hope this email finds you well.
I am writing in reference to your recent call to our technical support center regarding the EM: Configuration Download not working
Bringing to your attention, it occurred due a conflict with the modules and Unite so the Software try to download it again.
I'm pleased to inform you that we have addressed this problem by reset the configuration download.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3" s="36"/>
    </row>
    <row r="24" spans="1:21" ht="329.4" customHeight="1" x14ac:dyDescent="0.3">
      <c r="M24" s="4" t="s">
        <v>92</v>
      </c>
      <c r="N24" s="4" t="s">
        <v>90</v>
      </c>
      <c r="O24" s="29" t="s">
        <v>93</v>
      </c>
      <c r="P24" s="30"/>
      <c r="Q24" s="30"/>
      <c r="R24" s="31" t="s">
        <v>94</v>
      </c>
      <c r="S24" s="31"/>
      <c r="T24" s="31" t="str">
        <f>_xlfn.CONCAT("Dear ",Templates!$B$6,CHAR(10),CHAR(10),"I am writing to address your recent call to our technical support center concerning the issue encountered when you sent a case to the Invisalign integration from your 3Shape Unite software. ",CHAR(10),CHAR(10),R24,CHAR(10),CHAR(10),$AJ$4)</f>
        <v xml:space="preserve">Dear 
I am writing to address your recent call to our technical support center concerning the issue encountered when you sent a case to the Invisalign integration from your 3Shape Unite software. 
I am pleased to inform you that we have addressed this issue by re-enabling the Invisalign integration in your Communicate portal, also, creating a new case and reimporting the original scans on it for you to send the case to the Invisalign integration again.
As a recommendation, do not navigate to much in and out of the case to avoid corruption on 3shape's end (Unite)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4" s="32"/>
    </row>
    <row r="25" spans="1:21" ht="322.2" customHeight="1" x14ac:dyDescent="0.3">
      <c r="A25" t="e" cm="1">
        <f t="array" ref="A25">-Remotely access</f>
        <v>#NAME?</v>
      </c>
      <c r="M25" s="4" t="s">
        <v>95</v>
      </c>
      <c r="N25" s="24" t="s">
        <v>96</v>
      </c>
      <c r="O25" s="29" t="s">
        <v>97</v>
      </c>
      <c r="P25" s="30"/>
      <c r="Q25" s="30"/>
      <c r="R25" s="31"/>
      <c r="S25" s="31"/>
      <c r="T25" s="31" t="str">
        <f>_xlfn.CONCAT("Dear ",Templates!$B$6,CHAR(10),CHAR(10),"Accesses TV session",,CHAR(10),CHAR(10),"I am writing in reference to your recent call to our technical support center regarding a Failure to sent the case with Invisalign.",CHAR(10),CHAR(10),"Bringing to your attention, it occurred due to Invisalign integration was disable on Communicate Portal, this may be caused for an Invisalign update of the integration or may be a miss click on Communicate.",CHAR(10),CHAR(10),"I'm pleased to inform you that we have addressed this problem by enable the integration of Invisalign on Communicate Portal again.",CHAR(10),CHAR(10),$AJ$4)</f>
        <v xml:space="preserve">Dear 
Accesses TV session
I am writing in reference to your recent call to our technical support center regarding a Failure to sent the case with Invisalign.
Bringing to your attention, it occurred due to Invisalign integration was disable on Communicate Portal, this may be caused for an Invisalign update of the integration or may be a miss click on Communicate.
I'm pleased to inform you that we have addressed this problem by enable the integration of Invisalign on Communicate Portal again.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5" s="31"/>
    </row>
    <row r="26" spans="1:21" ht="333.6" customHeight="1" x14ac:dyDescent="0.3">
      <c r="A26" t="s">
        <v>98</v>
      </c>
      <c r="M26" s="4" t="s">
        <v>99</v>
      </c>
      <c r="N26" s="4" t="s">
        <v>90</v>
      </c>
      <c r="O26" s="29" t="s">
        <v>100</v>
      </c>
      <c r="P26" s="30"/>
      <c r="Q26" s="30"/>
      <c r="R26" s="29" t="s">
        <v>101</v>
      </c>
      <c r="S26" s="29"/>
      <c r="T26" s="29" t="str">
        <f>_xlfn.CONCAT("Dear ",Templates!$B$6,CHAR(10),CHAR(10),"I am reaching out regarding your recent call to our technical support center concerning the licenses and updates issue encountered in your 3Shape Unite software in the client PC. ",CHAR(10),CHAR(10),$R$26,CHAR(10),CHAR(10),"Also, I would recommend you shut down the computer completely at the end of the day, to ensure the best performance for the software.",CHAR(10),CHAR(10),$AJ$4)</f>
        <v xml:space="preserve">Dear 
I am reaching out regarding your recent call to our technical support center concerning the licenses and updates issue encountered in your 3Shape Unite software in the client PC. 
I am pleased to inform you that we have addressed the issue verifying the licenses validity. Additionally, the client PC was updated successfully to the latest version of the Unite software. As a result, you should be able to postprocess cases and also to send them in the future.
Also, I would recommend you shut down the computer completely at the end of the day, to ensure the best performance for the software.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6" s="30"/>
    </row>
    <row r="27" spans="1:21" ht="333.6" customHeight="1" x14ac:dyDescent="0.3">
      <c r="A27" t="e" cm="1">
        <f t="array" ref="A27">- Opened Powershell as administrator</f>
        <v>#NAME?</v>
      </c>
      <c r="M27" s="4" t="s">
        <v>102</v>
      </c>
      <c r="N27" s="25" t="s">
        <v>103</v>
      </c>
      <c r="O27" s="80" t="s">
        <v>104</v>
      </c>
      <c r="P27" s="80"/>
      <c r="Q27" s="80"/>
      <c r="R27" s="81" t="s">
        <v>105</v>
      </c>
      <c r="S27" s="81"/>
      <c r="T27" s="82" t="str">
        <f>_xlfn.CONCAT("Dear ", Templates!$B$6,CHAR(10), CHAR(10), "I hope this email finds you well.", CHAR(10), CHAR(10), "I am writing in reference to your recent call to our technical support center regarding the Error Code: 10 when performing calibation with TRIOS 3.","This error was caused because calibration target is expired, the calibration target might work two years after the expiration date has passed, depending on his care and protection.",CHAR(10),CHAR(10), "I’m pleased to inform you that we have resolved this issue by performing gray calibration with the 3D black cylinder while you buy a new color calibration target",CHAR(10), CHAR(10), $R$27, CHAR(10),CHAR(10),$AJ$4)</f>
        <v xml:space="preserve">Dear 
I hope this email finds you well.
I am writing in reference to your recent call to our technical support center regarding the Error Code: 10 when performing calibation with TRIOS 3.This error was caused because calibration target is expired, the calibration target might work two years after the expiration date has passed, depending on his care and protection.
I’m pleased to inform you that we have resolved this issue by performing gray calibration with the 3D black cylinder while you buy a new color calibration target
Also, be sure to check the expiration date of the target gradually before calibrating.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7" s="83"/>
    </row>
    <row r="28" spans="1:21" ht="291" customHeight="1" x14ac:dyDescent="0.3">
      <c r="A28" t="e" cm="1">
        <f t="array" ref="A28">-Disabled autoconfiguration for the adapter on tplink</f>
        <v>#NAME?</v>
      </c>
      <c r="M28" s="4" t="s">
        <v>106</v>
      </c>
      <c r="N28" s="4" t="s">
        <v>90</v>
      </c>
      <c r="O28" s="31" t="s">
        <v>107</v>
      </c>
      <c r="P28" s="32"/>
      <c r="Q28" s="32"/>
      <c r="R28" s="86"/>
      <c r="S28" s="86"/>
      <c r="T28" s="34" t="str">
        <f>_xlfn.CONCAT("Dear ",Templates!$B$6,CHAR(10),CHAR(10),"I hope you are doing well.",CHAR(10),CHAR(10),"I am writing to provide a summary of your recent call to our technical support center regarding the issues you were having in your 3Shape Unite software when trying to send a case.",CHAR(10),CHAR(10),"I'm pleased to inform you that we have resolved this issue by returning to the scanning page, trimmed a small amount of soft tissue, which enabled the abutment setup menus to appear in the initial case stage.","Then, after reprocessing the scans, the case was successfully sent.",CHAR(10),CHAR(10),"Additionally, we collected logs so the incident is now set as resolved.", CHAR(10),$AJ$4)</f>
        <v xml:space="preserve">Dear 
I hope you are doing well.
I am writing to provide a summary of your recent call to our technical support center regarding the issues you were having in your 3Shape Unite software when trying to send a case.
I'm pleased to inform you that we have resolved this issue by returning to the scanning page, trimmed a small amount of soft tissue, which enabled the abutment setup menus to appear in the initial case stage.Then, after reprocessing the scans, the case was successfully sent.
Additionally, we collected logs so the incident is now set as resolved.
Thank you for allowing me to assist you today. I would greatly appreciate it if you could take a moment to provide feedback on my service by completing the following survey: 
https://
At the end of the survey, please leave a note about your experience during this interaction. Your patience and understanding throughout the process are greatly appreciated, and your feedback will help us continue improving our services as we strive for excellence.
</v>
      </c>
      <c r="U28" s="34"/>
    </row>
    <row r="29" spans="1:21" ht="291" customHeight="1" x14ac:dyDescent="0.3">
      <c r="A29" t="e" cm="1">
        <f t="array" ref="A29">-Enable the correct wifi for lynksys</f>
        <v>#NAME?</v>
      </c>
      <c r="M29" s="4" t="s">
        <v>108</v>
      </c>
      <c r="N29" s="23" t="s">
        <v>109</v>
      </c>
      <c r="O29" s="29" t="s">
        <v>110</v>
      </c>
      <c r="P29" s="30"/>
      <c r="Q29" s="30"/>
      <c r="R29" s="32" t="s">
        <v>111</v>
      </c>
      <c r="S29" s="32"/>
      <c r="T29" s="31" t="s">
        <v>112</v>
      </c>
      <c r="U29" s="32"/>
    </row>
    <row r="30" spans="1:21" ht="287.39999999999998" customHeight="1" x14ac:dyDescent="0.3">
      <c r="A30" t="s">
        <v>113</v>
      </c>
      <c r="M30" s="27" t="s">
        <v>114</v>
      </c>
      <c r="N30" s="7" t="s">
        <v>115</v>
      </c>
      <c r="O30" s="29" t="s">
        <v>116</v>
      </c>
      <c r="P30" s="30"/>
      <c r="Q30" s="30"/>
      <c r="R30" s="32" t="s">
        <v>117</v>
      </c>
      <c r="S30" s="32"/>
      <c r="T30" s="31" t="s">
        <v>118</v>
      </c>
      <c r="U30" s="32"/>
    </row>
    <row r="31" spans="1:21" ht="287.39999999999998" customHeight="1" x14ac:dyDescent="0.3">
      <c r="A31" t="s">
        <v>119</v>
      </c>
      <c r="M31" s="27" t="s">
        <v>120</v>
      </c>
      <c r="N31" s="7" t="s">
        <v>121</v>
      </c>
      <c r="O31" s="29" t="s">
        <v>122</v>
      </c>
      <c r="P31" s="30"/>
      <c r="Q31" s="30"/>
      <c r="R31" s="32"/>
      <c r="S31" s="32"/>
      <c r="T31" s="31" t="s">
        <v>123</v>
      </c>
      <c r="U31" s="32"/>
    </row>
    <row r="32" spans="1:21" ht="15" customHeight="1" x14ac:dyDescent="0.3">
      <c r="A32" t="e" cm="1">
        <f t="array" ref="A32">-Uninstalled drivers: Tp-Link Wireless USB adapter, AXIS AX88179 USB, lynksys</f>
        <v>#NAME?</v>
      </c>
    </row>
    <row r="33" spans="1:1" ht="15" customHeight="1" x14ac:dyDescent="0.3">
      <c r="A33" t="s">
        <v>124</v>
      </c>
    </row>
    <row r="34" spans="1:1" ht="15" customHeight="1" x14ac:dyDescent="0.3">
      <c r="A34" t="e" cm="1">
        <f t="array" ref="A34">-Checked the network connections</f>
        <v>#NAME?</v>
      </c>
    </row>
    <row r="35" spans="1:1" ht="15" customHeight="1" x14ac:dyDescent="0.3">
      <c r="A35" t="s">
        <v>125</v>
      </c>
    </row>
    <row r="36" spans="1:1" ht="15" customHeight="1" x14ac:dyDescent="0.3">
      <c r="A36" t="e" cm="1">
        <f t="array" ref="A36">-Reset network</f>
        <v>#NAME?</v>
      </c>
    </row>
    <row r="37" spans="1:1" ht="15" customHeight="1" x14ac:dyDescent="0.3">
      <c r="A37" t="e" cm="1">
        <f t="array" ref="A37">-Shut down the computer</f>
        <v>#NAME?</v>
      </c>
    </row>
    <row r="38" spans="1:1" ht="15" customHeight="1" x14ac:dyDescent="0.3">
      <c r="A38" t="e" cm="1">
        <f t="array" ref="A38">-Disconnected internet cable</f>
        <v>#NAME?</v>
      </c>
    </row>
    <row r="39" spans="1:1" ht="15" customHeight="1" x14ac:dyDescent="0.3">
      <c r="A39" t="e" cm="1">
        <f t="array" ref="A39">-Unplugged devides/adapters/lynksys</f>
        <v>#NAME?</v>
      </c>
    </row>
    <row r="40" spans="1:1" ht="15" customHeight="1" x14ac:dyDescent="0.3">
      <c r="A40" t="e" cm="1">
        <f t="array" ref="A40">-Asked for the pictures of the conditions of Device</f>
        <v>#NAME?</v>
      </c>
    </row>
    <row r="41" spans="1:1" ht="15" customHeight="1" x14ac:dyDescent="0.3">
      <c r="A41" t="s">
        <v>126</v>
      </c>
    </row>
    <row r="42" spans="1:1" ht="15" customHeight="1" x14ac:dyDescent="0.3">
      <c r="A42" t="s">
        <v>127</v>
      </c>
    </row>
    <row r="288" spans="13:21" ht="15" customHeight="1" x14ac:dyDescent="0.3">
      <c r="M288" s="3"/>
      <c r="N288" s="3"/>
      <c r="R288" s="3"/>
      <c r="S288" s="3"/>
      <c r="T288" s="3"/>
      <c r="U288" s="3"/>
    </row>
    <row r="633" spans="13:21" ht="15" customHeight="1" x14ac:dyDescent="0.3">
      <c r="M633" s="3"/>
      <c r="N633" s="3"/>
      <c r="R633" s="3"/>
      <c r="S633" s="3"/>
      <c r="T633" s="3"/>
      <c r="U633" s="3"/>
    </row>
  </sheetData>
  <mergeCells count="132">
    <mergeCell ref="O30:Q30"/>
    <mergeCell ref="R30:S30"/>
    <mergeCell ref="T30:U30"/>
    <mergeCell ref="O31:Q31"/>
    <mergeCell ref="R31:S31"/>
    <mergeCell ref="T31:U31"/>
    <mergeCell ref="T7:U7"/>
    <mergeCell ref="R28:S28"/>
    <mergeCell ref="D12:E12"/>
    <mergeCell ref="F12:G12"/>
    <mergeCell ref="H12:I12"/>
    <mergeCell ref="H13:I13"/>
    <mergeCell ref="D11:E11"/>
    <mergeCell ref="F11:G11"/>
    <mergeCell ref="H11:I11"/>
    <mergeCell ref="T23:U23"/>
    <mergeCell ref="O21:Q21"/>
    <mergeCell ref="T21:U21"/>
    <mergeCell ref="O19:Q19"/>
    <mergeCell ref="O13:Q13"/>
    <mergeCell ref="O15:Q15"/>
    <mergeCell ref="O16:Q16"/>
    <mergeCell ref="O18:Q18"/>
    <mergeCell ref="O17:Q17"/>
    <mergeCell ref="O14:Q14"/>
    <mergeCell ref="R14:S14"/>
    <mergeCell ref="T14:U14"/>
    <mergeCell ref="O27:Q27"/>
    <mergeCell ref="R27:S27"/>
    <mergeCell ref="T27:U27"/>
    <mergeCell ref="O26:Q26"/>
    <mergeCell ref="T26:U26"/>
    <mergeCell ref="R26:S26"/>
    <mergeCell ref="O24:Q24"/>
    <mergeCell ref="R24:S24"/>
    <mergeCell ref="T24:U24"/>
    <mergeCell ref="O25:Q25"/>
    <mergeCell ref="R25:S25"/>
    <mergeCell ref="T25:U25"/>
    <mergeCell ref="O22:Q22"/>
    <mergeCell ref="R22:S22"/>
    <mergeCell ref="T22:U22"/>
    <mergeCell ref="R21:S21"/>
    <mergeCell ref="O23:Q23"/>
    <mergeCell ref="R23:S23"/>
    <mergeCell ref="AS3:BE3"/>
    <mergeCell ref="AJ4:AP4"/>
    <mergeCell ref="AJ3:AP3"/>
    <mergeCell ref="BA4:BE4"/>
    <mergeCell ref="BA5:BE5"/>
    <mergeCell ref="AT4:AZ4"/>
    <mergeCell ref="AT5:AZ5"/>
    <mergeCell ref="O12:Q12"/>
    <mergeCell ref="O10:Q10"/>
    <mergeCell ref="O11:Q11"/>
    <mergeCell ref="R10:S10"/>
    <mergeCell ref="T10:U10"/>
    <mergeCell ref="R11:S11"/>
    <mergeCell ref="T11:U11"/>
    <mergeCell ref="R12:S12"/>
    <mergeCell ref="T12:U12"/>
    <mergeCell ref="O5:Q5"/>
    <mergeCell ref="R5:S5"/>
    <mergeCell ref="T5:U5"/>
    <mergeCell ref="O4:Q4"/>
    <mergeCell ref="R4:S4"/>
    <mergeCell ref="T4:U4"/>
    <mergeCell ref="T6:U6"/>
    <mergeCell ref="O7:Q7"/>
    <mergeCell ref="Y2:AG2"/>
    <mergeCell ref="AA3:AC3"/>
    <mergeCell ref="AD3:AE3"/>
    <mergeCell ref="AF3:AG3"/>
    <mergeCell ref="AA4:AC4"/>
    <mergeCell ref="AD4:AE4"/>
    <mergeCell ref="AF4:AG4"/>
    <mergeCell ref="H5:I5"/>
    <mergeCell ref="O3:Q3"/>
    <mergeCell ref="M2:U2"/>
    <mergeCell ref="H4:I4"/>
    <mergeCell ref="B2:I2"/>
    <mergeCell ref="H3:I3"/>
    <mergeCell ref="R3:S3"/>
    <mergeCell ref="T3:U3"/>
    <mergeCell ref="D6:E6"/>
    <mergeCell ref="D9:E9"/>
    <mergeCell ref="D10:E10"/>
    <mergeCell ref="F10:G10"/>
    <mergeCell ref="H10:I10"/>
    <mergeCell ref="O28:Q28"/>
    <mergeCell ref="T28:U28"/>
    <mergeCell ref="F5:G5"/>
    <mergeCell ref="F3:G3"/>
    <mergeCell ref="T9:U9"/>
    <mergeCell ref="R8:S8"/>
    <mergeCell ref="T8:U8"/>
    <mergeCell ref="R9:S9"/>
    <mergeCell ref="F6:G6"/>
    <mergeCell ref="O8:Q8"/>
    <mergeCell ref="O9:Q9"/>
    <mergeCell ref="F8:G8"/>
    <mergeCell ref="H8:I8"/>
    <mergeCell ref="H6:I6"/>
    <mergeCell ref="H7:I7"/>
    <mergeCell ref="D3:E3"/>
    <mergeCell ref="D4:E4"/>
    <mergeCell ref="F4:G4"/>
    <mergeCell ref="R7:S7"/>
    <mergeCell ref="O29:Q29"/>
    <mergeCell ref="T29:U29"/>
    <mergeCell ref="R29:S29"/>
    <mergeCell ref="D5:E5"/>
    <mergeCell ref="O20:Q20"/>
    <mergeCell ref="R20:S20"/>
    <mergeCell ref="T20:U20"/>
    <mergeCell ref="H9:I9"/>
    <mergeCell ref="F9:G9"/>
    <mergeCell ref="R19:S19"/>
    <mergeCell ref="T19:U19"/>
    <mergeCell ref="R16:S16"/>
    <mergeCell ref="T16:U16"/>
    <mergeCell ref="R18:S18"/>
    <mergeCell ref="T18:U18"/>
    <mergeCell ref="R17:S17"/>
    <mergeCell ref="T17:U17"/>
    <mergeCell ref="T15:U15"/>
    <mergeCell ref="R13:S13"/>
    <mergeCell ref="R15:S15"/>
    <mergeCell ref="T13:U13"/>
    <mergeCell ref="D8:E8"/>
    <mergeCell ref="D7:E7"/>
    <mergeCell ref="F7:G7"/>
  </mergeCells>
  <hyperlinks>
    <hyperlink ref="C4" r:id="rId1" xr:uid="{7F4B2EB9-0CD1-41AB-8C9A-36E4E26C2A0E}"/>
    <hyperlink ref="C5" r:id="rId2" xr:uid="{BC96E5CB-F15E-4F9E-8C5A-252D03783C56}"/>
    <hyperlink ref="N9" r:id="rId3" xr:uid="{D1A87296-D59A-4B19-8D45-00F94ECFFBE1}"/>
    <hyperlink ref="C7" r:id="rId4" display="https://support.3shape.com/3shape-unite-old-articles/2522713-how-to-add-a-connection-on-3shape-communicate-from-the-dental-desktop-platform?from_search=176462253" xr:uid="{26E13119-9DB0-476A-A83C-0BFF8217E6D6}"/>
    <hyperlink ref="N17" r:id="rId5" display="https://support.3shape.com/products-unite-software-how-to/2523166-how-to-import-streams-in-trios-on-dental-desktop-unite" xr:uid="{EA65B036-6D7C-4FF6-A384-65D937613D9C}"/>
    <hyperlink ref="N18" r:id="rId6" xr:uid="{A450F276-E0E5-49D0-BE43-114EA3755334}"/>
    <hyperlink ref="C8" r:id="rId7" tooltip="https://support.3shape.com/products-unite-software-how-to/2524707-how-to-update-unite-to-newer-versions?from_search=177670445" xr:uid="{12A08508-014B-4B5C-93B4-67C3465F64E4}"/>
    <hyperlink ref="N21" r:id="rId8" xr:uid="{0F71FD3C-63E3-4135-A2F0-27F49DE23E5A}"/>
    <hyperlink ref="N22" r:id="rId9" xr:uid="{57FE15DF-AC29-493C-A293-2FBB67C01C35}"/>
    <hyperlink ref="N12" r:id="rId10" xr:uid="{4E042664-1478-4307-954F-C758F139F623}"/>
    <hyperlink ref="N25" r:id="rId11" xr:uid="{7D0DB47B-8290-4214-8DDA-BA8E721EB80A}"/>
    <hyperlink ref="N8" r:id="rId12" xr:uid="{7062688A-DC54-4E0D-903F-B2575B349D39}"/>
    <hyperlink ref="N27" r:id="rId13" xr:uid="{660FF271-D861-4800-BE1C-966DB085C6B9}"/>
    <hyperlink ref="N5" r:id="rId14" xr:uid="{F77CF869-8B7C-45E7-BD80-1F3B2EDFB652}"/>
    <hyperlink ref="N13" r:id="rId15" xr:uid="{6E94AA9A-B91F-4E6B-B4A4-5438557D8ADE}"/>
    <hyperlink ref="N14" r:id="rId16" xr:uid="{520A0CDD-AD67-44B2-A27E-A2837B4969DD}"/>
    <hyperlink ref="C12" r:id="rId17" xr:uid="{60A1E848-F744-4258-A746-5CCCFB016821}"/>
    <hyperlink ref="N30" r:id="rId18" xr:uid="{400B59E1-737B-42DC-BD4E-0007E3C863DC}"/>
    <hyperlink ref="N31" r:id="rId19" xr:uid="{BCF68502-4F63-432D-B325-B7975490B172}"/>
  </hyperlinks>
  <pageMargins left="0.7" right="0.7" top="0.75" bottom="0.75" header="0.3" footer="0.3"/>
  <pageSetup orientation="portrait" r:id="rId2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19b35cee-6419-4656-9d17-24ffa19fe67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C453685A7E7C94D81FD09BCF0F0A5C7" ma:contentTypeVersion="6" ma:contentTypeDescription="Create a new document." ma:contentTypeScope="" ma:versionID="a2d93f37c5bc53f0614e0130de1ace78">
  <xsd:schema xmlns:xsd="http://www.w3.org/2001/XMLSchema" xmlns:xs="http://www.w3.org/2001/XMLSchema" xmlns:p="http://schemas.microsoft.com/office/2006/metadata/properties" xmlns:ns3="19b35cee-6419-4656-9d17-24ffa19fe671" targetNamespace="http://schemas.microsoft.com/office/2006/metadata/properties" ma:root="true" ma:fieldsID="230df0dbcd0f749fe0a9edcab28a75d6" ns3:_="">
    <xsd:import namespace="19b35cee-6419-4656-9d17-24ffa19fe671"/>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b35cee-6419-4656-9d17-24ffa19fe671"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5B14731-3C19-4708-818E-646CEF2EB7A1}">
  <ds:schemaRefs>
    <ds:schemaRef ds:uri="http://purl.org/dc/elements/1.1/"/>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purl.org/dc/terms/"/>
    <ds:schemaRef ds:uri="19b35cee-6419-4656-9d17-24ffa19fe671"/>
    <ds:schemaRef ds:uri="http://www.w3.org/XML/1998/namespace"/>
  </ds:schemaRefs>
</ds:datastoreItem>
</file>

<file path=customXml/itemProps2.xml><?xml version="1.0" encoding="utf-8"?>
<ds:datastoreItem xmlns:ds="http://schemas.openxmlformats.org/officeDocument/2006/customXml" ds:itemID="{9B906658-696A-4D9E-ADA4-1C84BA3CF7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b35cee-6419-4656-9d17-24ffa19fe67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91F60A-32DB-4A4A-8830-6594FE8C1CE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Templates</vt:lpstr>
      <vt:lpstr>TEU</vt:lpstr>
      <vt:lpstr>Complaints</vt:lpstr>
      <vt:lpstr>Miscellaneous</vt:lpstr>
      <vt:lpstr>Requests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Juan Morales Restrepo</dc:creator>
  <cp:keywords/>
  <dc:description/>
  <cp:lastModifiedBy>Joel Riascos Hurtado</cp:lastModifiedBy>
  <cp:revision/>
  <dcterms:created xsi:type="dcterms:W3CDTF">2025-02-12T14:18:51Z</dcterms:created>
  <dcterms:modified xsi:type="dcterms:W3CDTF">2025-04-10T18:28:22Z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0x0101003C453685A7E7C94D81FD09BCF0F0A5C7</vt:lpwstr>
  </property>
  <property fmtid="{D5CDD505-2E9C-101B-9397-08002B2CF9AE}" pid="3" name="MSIP_Label_f9468d2c-610f-4cd2-a8a5-c14462bc4a53_Enabled">
    <vt:lpwstr>true</vt:lpwstr>
  </property>
  <property fmtid="{D5CDD505-2E9C-101B-9397-08002B2CF9AE}" pid="4" name="MSIP_Label_f9468d2c-610f-4cd2-a8a5-c14462bc4a53_SetDate">
    <vt:lpwstr>2025-03-10T12:36:56Z</vt:lpwstr>
  </property>
  <property fmtid="{D5CDD505-2E9C-101B-9397-08002B2CF9AE}" pid="5" name="MSIP_Label_f9468d2c-610f-4cd2-a8a5-c14462bc4a53_Method">
    <vt:lpwstr>Standard</vt:lpwstr>
  </property>
  <property fmtid="{D5CDD505-2E9C-101B-9397-08002B2CF9AE}" pid="6" name="MSIP_Label_f9468d2c-610f-4cd2-a8a5-c14462bc4a53_Name">
    <vt:lpwstr>CONFIDENTIAL - INTERNAL USE ONLY</vt:lpwstr>
  </property>
  <property fmtid="{D5CDD505-2E9C-101B-9397-08002B2CF9AE}" pid="7" name="MSIP_Label_f9468d2c-610f-4cd2-a8a5-c14462bc4a53_SiteId">
    <vt:lpwstr>c3b232d6-15a2-46e1-8879-7ec7a9e5c4a9</vt:lpwstr>
  </property>
  <property fmtid="{D5CDD505-2E9C-101B-9397-08002B2CF9AE}" pid="8" name="MSIP_Label_f9468d2c-610f-4cd2-a8a5-c14462bc4a53_ActionId">
    <vt:lpwstr>5e61fed2-35bf-4f70-984a-2b3d7a7f5f79</vt:lpwstr>
  </property>
  <property fmtid="{D5CDD505-2E9C-101B-9397-08002B2CF9AE}" pid="9" name="MSIP_Label_f9468d2c-610f-4cd2-a8a5-c14462bc4a53_ContentBits">
    <vt:lpwstr>0</vt:lpwstr>
  </property>
  <property fmtid="{D5CDD505-2E9C-101B-9397-08002B2CF9AE}" pid="10" name="MSIP_Label_f9468d2c-610f-4cd2-a8a5-c14462bc4a53_Tag">
    <vt:lpwstr>10, 3, 0, 1</vt:lpwstr>
  </property>
</Properties>
</file>